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fcaeb3485a7b7e3/Documentos/Uniandes/Proyecto de grado/Proyecto Final MINE/Datos Proyecto (Preliminar)/"/>
    </mc:Choice>
  </mc:AlternateContent>
  <xr:revisionPtr revIDLastSave="0" documentId="13_ncr:1_{4A738265-B323-4A97-BF05-1520B57B38C8}" xr6:coauthVersionLast="47" xr6:coauthVersionMax="47" xr10:uidLastSave="{00000000-0000-0000-0000-000000000000}"/>
  <bookViews>
    <workbookView xWindow="-98" yWindow="-98" windowWidth="20715" windowHeight="13155" firstSheet="8" activeTab="12" xr2:uid="{00000000-000D-0000-FFFF-FFFF00000000}"/>
  </bookViews>
  <sheets>
    <sheet name="Sucursales" sheetId="1" r:id="rId1"/>
    <sheet name="Areas y Estaciones" sheetId="2" r:id="rId2"/>
    <sheet name="Estaciones Empleado" sheetId="7" r:id="rId3"/>
    <sheet name="Estaciones x Item" sheetId="6" r:id="rId4"/>
    <sheet name="Estaciones Sucursal" sheetId="3" r:id="rId5"/>
    <sheet name="Horarios Sucursal" sheetId="4" r:id="rId6"/>
    <sheet name="Descansos" sheetId="5" r:id="rId7"/>
    <sheet name="Hoja1" sheetId="12" state="hidden" r:id="rId8"/>
    <sheet name="Sucursales Empleado" sheetId="8" r:id="rId9"/>
    <sheet name="Actividades" sheetId="9" r:id="rId10"/>
    <sheet name="Empleados" sheetId="10" r:id="rId11"/>
    <sheet name="Productividad" sheetId="11" r:id="rId12"/>
    <sheet name="Transacciones" sheetId="13" r:id="rId13"/>
  </sheets>
  <definedNames>
    <definedName name="_xlnm._FilterDatabase" localSheetId="9" hidden="1">Actividades!$A$1:$K$1000</definedName>
    <definedName name="_xlnm._FilterDatabase" localSheetId="1" hidden="1">'Areas y Estaciones'!$A$1:$B$20</definedName>
    <definedName name="_xlnm._FilterDatabase" localSheetId="6" hidden="1">Descansos!$A$1:$D$4</definedName>
    <definedName name="_xlnm._FilterDatabase" localSheetId="10" hidden="1">Empleados!$A$1:$K$322</definedName>
    <definedName name="_xlnm._FilterDatabase" localSheetId="2" hidden="1">'Estaciones Empleado'!$A$1:$D$972</definedName>
    <definedName name="_xlnm._FilterDatabase" localSheetId="4" hidden="1">'Estaciones Sucursal'!$A$1:$C$115</definedName>
    <definedName name="_xlnm._FilterDatabase" localSheetId="3" hidden="1">'Estaciones x Item'!$A$1:$B$445</definedName>
    <definedName name="_xlnm._FilterDatabase" localSheetId="7" hidden="1">Hoja1!$C$1:$E$253</definedName>
    <definedName name="_xlnm._FilterDatabase" localSheetId="5" hidden="1">'Horarios Sucursal'!$A$1:$F$36</definedName>
    <definedName name="_xlnm._FilterDatabase" localSheetId="11" hidden="1">Productividad!$A$1:$C$37</definedName>
    <definedName name="_xlnm._FilterDatabase" localSheetId="0" hidden="1">Sucursales!$A$1:$H$7</definedName>
    <definedName name="_xlnm._FilterDatabase" localSheetId="8" hidden="1">'Sucursales Empleado'!$A$1:$B$236</definedName>
    <definedName name="ListaSucursales">Sucursales!$B$2:INDEX(Sucursales!$B:$B,COUNTA(Sucursales!$B:$B))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3" l="1"/>
  <c r="V11" i="13"/>
  <c r="V3" i="13"/>
  <c r="V4" i="13"/>
  <c r="V5" i="13"/>
  <c r="V6" i="13"/>
  <c r="V7" i="13"/>
  <c r="V8" i="13"/>
  <c r="V9" i="13"/>
  <c r="V10" i="13"/>
  <c r="V2" i="13"/>
  <c r="B3" i="13"/>
  <c r="B4" i="13" s="1"/>
  <c r="B5" i="13" s="1"/>
  <c r="B6" i="13" s="1"/>
  <c r="B7" i="13" s="1"/>
  <c r="B8" i="13" s="1"/>
  <c r="B9" i="13" s="1"/>
  <c r="B10" i="13" s="1"/>
  <c r="B11" i="13" s="1"/>
  <c r="A3" i="13"/>
  <c r="A4" i="13" s="1"/>
  <c r="A5" i="13" s="1"/>
  <c r="A6" i="13" s="1"/>
  <c r="A7" i="13" s="1"/>
  <c r="A8" i="13" s="1"/>
  <c r="A9" i="13" s="1"/>
  <c r="A10" i="13" s="1"/>
  <c r="A11" i="13" s="1"/>
  <c r="H12" i="9"/>
  <c r="G12" i="9"/>
  <c r="G2" i="9"/>
  <c r="H2" i="9"/>
  <c r="G3" i="9"/>
  <c r="H3" i="9"/>
  <c r="G4" i="9"/>
  <c r="H4" i="9"/>
  <c r="G5" i="9"/>
  <c r="H5" i="9"/>
  <c r="G6" i="9"/>
  <c r="H6" i="9"/>
  <c r="G7" i="9"/>
  <c r="H7" i="9"/>
  <c r="G8" i="9"/>
  <c r="H8" i="9"/>
  <c r="G9" i="9"/>
  <c r="H9" i="9"/>
  <c r="G10" i="9"/>
  <c r="H10" i="9"/>
  <c r="G11" i="9"/>
  <c r="H11" i="9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905" i="7"/>
  <c r="D906" i="7"/>
  <c r="D907" i="7"/>
  <c r="D908" i="7"/>
  <c r="D909" i="7"/>
  <c r="D910" i="7"/>
  <c r="D911" i="7"/>
  <c r="D912" i="7"/>
  <c r="D913" i="7"/>
  <c r="D914" i="7"/>
  <c r="D242" i="7"/>
  <c r="D386" i="7"/>
  <c r="D104" i="7"/>
  <c r="D541" i="7"/>
  <c r="D103" i="7"/>
  <c r="D698" i="7"/>
  <c r="D697" i="7"/>
  <c r="D696" i="7"/>
  <c r="D695" i="7"/>
  <c r="D694" i="7"/>
  <c r="D693" i="7"/>
  <c r="D904" i="7"/>
  <c r="D903" i="7"/>
  <c r="D902" i="7"/>
  <c r="D385" i="7"/>
  <c r="D384" i="7"/>
  <c r="D383" i="7"/>
  <c r="D692" i="7"/>
  <c r="D691" i="7"/>
  <c r="D540" i="7"/>
  <c r="D382" i="7"/>
  <c r="D381" i="7"/>
  <c r="D380" i="7"/>
  <c r="D379" i="7"/>
  <c r="D378" i="7"/>
  <c r="D377" i="7"/>
  <c r="D241" i="7"/>
  <c r="D240" i="7"/>
  <c r="D239" i="7"/>
  <c r="D690" i="7"/>
  <c r="D689" i="7"/>
  <c r="D688" i="7"/>
  <c r="D539" i="7"/>
  <c r="D538" i="7"/>
  <c r="D537" i="7"/>
  <c r="D536" i="7"/>
  <c r="D535" i="7"/>
  <c r="D534" i="7"/>
  <c r="D687" i="7"/>
  <c r="D686" i="7"/>
  <c r="D685" i="7"/>
  <c r="D533" i="7"/>
  <c r="D532" i="7"/>
  <c r="D531" i="7"/>
  <c r="D238" i="7"/>
  <c r="D237" i="7"/>
  <c r="D236" i="7"/>
  <c r="D901" i="7"/>
  <c r="D900" i="7"/>
  <c r="D899" i="7"/>
  <c r="D235" i="7"/>
  <c r="D234" i="7"/>
  <c r="D233" i="7"/>
  <c r="D102" i="7"/>
  <c r="D101" i="7"/>
  <c r="D100" i="7"/>
  <c r="D376" i="7"/>
  <c r="D375" i="7"/>
  <c r="D99" i="7"/>
  <c r="D98" i="7"/>
  <c r="D684" i="7"/>
  <c r="D683" i="7"/>
  <c r="D374" i="7"/>
  <c r="D373" i="7"/>
  <c r="D682" i="7"/>
  <c r="D681" i="7"/>
  <c r="D680" i="7"/>
  <c r="D898" i="7"/>
  <c r="D897" i="7"/>
  <c r="D896" i="7"/>
  <c r="D530" i="7"/>
  <c r="D529" i="7"/>
  <c r="D528" i="7"/>
  <c r="D679" i="7"/>
  <c r="D678" i="7"/>
  <c r="D677" i="7"/>
  <c r="D895" i="7"/>
  <c r="D894" i="7"/>
  <c r="D893" i="7"/>
  <c r="D676" i="7"/>
  <c r="D675" i="7"/>
  <c r="D97" i="7"/>
  <c r="D96" i="7"/>
  <c r="D95" i="7"/>
  <c r="D232" i="7"/>
  <c r="D231" i="7"/>
  <c r="D372" i="7"/>
  <c r="D371" i="7"/>
  <c r="D230" i="7"/>
  <c r="D229" i="7"/>
  <c r="D228" i="7"/>
  <c r="D227" i="7"/>
  <c r="D226" i="7"/>
  <c r="D225" i="7"/>
  <c r="D94" i="7"/>
  <c r="D93" i="7"/>
  <c r="D92" i="7"/>
  <c r="D892" i="7"/>
  <c r="D891" i="7"/>
  <c r="D890" i="7"/>
  <c r="D674" i="7"/>
  <c r="D673" i="7"/>
  <c r="D672" i="7"/>
  <c r="D671" i="7"/>
  <c r="D670" i="7"/>
  <c r="D669" i="7"/>
  <c r="D224" i="7"/>
  <c r="D223" i="7"/>
  <c r="D222" i="7"/>
  <c r="D221" i="7"/>
  <c r="D527" i="7"/>
  <c r="D889" i="7"/>
  <c r="D668" i="7"/>
  <c r="D667" i="7"/>
  <c r="D666" i="7"/>
  <c r="D665" i="7"/>
  <c r="D664" i="7"/>
  <c r="D91" i="7"/>
  <c r="D90" i="7"/>
  <c r="D89" i="7"/>
  <c r="D220" i="7"/>
  <c r="D219" i="7"/>
  <c r="D218" i="7"/>
  <c r="D888" i="7"/>
  <c r="D887" i="7"/>
  <c r="D663" i="7"/>
  <c r="D662" i="7"/>
  <c r="D661" i="7"/>
  <c r="D217" i="7"/>
  <c r="D216" i="7"/>
  <c r="D215" i="7"/>
  <c r="D370" i="7"/>
  <c r="D369" i="7"/>
  <c r="D368" i="7"/>
  <c r="D367" i="7"/>
  <c r="D366" i="7"/>
  <c r="D365" i="7"/>
  <c r="D526" i="7"/>
  <c r="D525" i="7"/>
  <c r="D524" i="7"/>
  <c r="D523" i="7"/>
  <c r="D522" i="7"/>
  <c r="D660" i="7"/>
  <c r="D659" i="7"/>
  <c r="D658" i="7"/>
  <c r="D521" i="7"/>
  <c r="D520" i="7"/>
  <c r="D519" i="7"/>
  <c r="D518" i="7"/>
  <c r="D517" i="7"/>
  <c r="D516" i="7"/>
  <c r="D515" i="7"/>
  <c r="D514" i="7"/>
  <c r="D88" i="7"/>
  <c r="D87" i="7"/>
  <c r="D86" i="7"/>
  <c r="D85" i="7"/>
  <c r="D84" i="7"/>
  <c r="D83" i="7"/>
  <c r="D886" i="7"/>
  <c r="D885" i="7"/>
  <c r="D884" i="7"/>
  <c r="D883" i="7"/>
  <c r="D882" i="7"/>
  <c r="D881" i="7"/>
  <c r="D880" i="7"/>
  <c r="D879" i="7"/>
  <c r="D878" i="7"/>
  <c r="D364" i="7"/>
  <c r="D363" i="7"/>
  <c r="D362" i="7"/>
  <c r="D361" i="7"/>
  <c r="D360" i="7"/>
  <c r="D214" i="7"/>
  <c r="D213" i="7"/>
  <c r="D212" i="7"/>
  <c r="D877" i="7"/>
  <c r="D876" i="7"/>
  <c r="D513" i="7"/>
  <c r="D512" i="7"/>
  <c r="D511" i="7"/>
  <c r="D359" i="7"/>
  <c r="D358" i="7"/>
  <c r="D357" i="7"/>
  <c r="D510" i="7"/>
  <c r="D509" i="7"/>
  <c r="D508" i="7"/>
  <c r="D82" i="7"/>
  <c r="D81" i="7"/>
  <c r="D80" i="7"/>
  <c r="D79" i="7"/>
  <c r="D78" i="7"/>
  <c r="D77" i="7"/>
  <c r="D657" i="7"/>
  <c r="D656" i="7"/>
  <c r="D655" i="7"/>
  <c r="D507" i="7"/>
  <c r="D506" i="7"/>
  <c r="D505" i="7"/>
  <c r="D875" i="7"/>
  <c r="D874" i="7"/>
  <c r="D873" i="7"/>
  <c r="D356" i="7"/>
  <c r="D355" i="7"/>
  <c r="D654" i="7"/>
  <c r="D211" i="7"/>
  <c r="D210" i="7"/>
  <c r="D209" i="7"/>
  <c r="D653" i="7"/>
  <c r="D652" i="7"/>
  <c r="D651" i="7"/>
  <c r="D208" i="7"/>
  <c r="D207" i="7"/>
  <c r="D206" i="7"/>
  <c r="D354" i="7"/>
  <c r="D353" i="7"/>
  <c r="D352" i="7"/>
  <c r="D872" i="7"/>
  <c r="D871" i="7"/>
  <c r="D870" i="7"/>
  <c r="D869" i="7"/>
  <c r="D868" i="7"/>
  <c r="D867" i="7"/>
  <c r="D76" i="7"/>
  <c r="D75" i="7"/>
  <c r="D351" i="7"/>
  <c r="D350" i="7"/>
  <c r="D349" i="7"/>
  <c r="D348" i="7"/>
  <c r="D74" i="7"/>
  <c r="D73" i="7"/>
  <c r="D72" i="7"/>
  <c r="D71" i="7"/>
  <c r="D70" i="7"/>
  <c r="D866" i="7"/>
  <c r="D865" i="7"/>
  <c r="D864" i="7"/>
  <c r="D650" i="7"/>
  <c r="D649" i="7"/>
  <c r="D648" i="7"/>
  <c r="D863" i="7"/>
  <c r="D862" i="7"/>
  <c r="D861" i="7"/>
  <c r="D504" i="7"/>
  <c r="D503" i="7"/>
  <c r="D502" i="7"/>
  <c r="D205" i="7"/>
  <c r="D204" i="7"/>
  <c r="D69" i="7"/>
  <c r="D68" i="7"/>
  <c r="D67" i="7"/>
  <c r="D647" i="7"/>
  <c r="D646" i="7"/>
  <c r="D645" i="7"/>
  <c r="D501" i="7"/>
  <c r="D500" i="7"/>
  <c r="D499" i="7"/>
  <c r="D498" i="7"/>
  <c r="D497" i="7"/>
  <c r="D496" i="7"/>
  <c r="D644" i="7"/>
  <c r="D643" i="7"/>
  <c r="D642" i="7"/>
  <c r="D641" i="7"/>
  <c r="D347" i="7"/>
  <c r="D346" i="7"/>
  <c r="D345" i="7"/>
  <c r="D860" i="7"/>
  <c r="D859" i="7"/>
  <c r="D858" i="7"/>
  <c r="D344" i="7"/>
  <c r="D343" i="7"/>
  <c r="D342" i="7"/>
  <c r="D341" i="7"/>
  <c r="D340" i="7"/>
  <c r="D339" i="7"/>
  <c r="D857" i="7"/>
  <c r="D856" i="7"/>
  <c r="D855" i="7"/>
  <c r="D854" i="7"/>
  <c r="D853" i="7"/>
  <c r="D852" i="7"/>
  <c r="D203" i="7"/>
  <c r="D202" i="7"/>
  <c r="D201" i="7"/>
  <c r="D495" i="7"/>
  <c r="D494" i="7"/>
  <c r="D493" i="7"/>
  <c r="D492" i="7"/>
  <c r="D851" i="7"/>
  <c r="D850" i="7"/>
  <c r="D849" i="7"/>
  <c r="D66" i="7"/>
  <c r="D65" i="7"/>
  <c r="D64" i="7"/>
  <c r="D63" i="7"/>
  <c r="D62" i="7"/>
  <c r="D848" i="7"/>
  <c r="D847" i="7"/>
  <c r="D846" i="7"/>
  <c r="D845" i="7"/>
  <c r="D844" i="7"/>
  <c r="D843" i="7"/>
  <c r="D842" i="7"/>
  <c r="D841" i="7"/>
  <c r="D840" i="7"/>
  <c r="D839" i="7"/>
  <c r="D838" i="7"/>
  <c r="D837" i="7"/>
  <c r="D836" i="7"/>
  <c r="D835" i="7"/>
  <c r="D834" i="7"/>
  <c r="D833" i="7"/>
  <c r="D832" i="7"/>
  <c r="D831" i="7"/>
  <c r="D830" i="7"/>
  <c r="D829" i="7"/>
  <c r="D828" i="7"/>
  <c r="D827" i="7"/>
  <c r="D826" i="7"/>
  <c r="D825" i="7"/>
  <c r="D824" i="7"/>
  <c r="D823" i="7"/>
  <c r="D822" i="7"/>
  <c r="D821" i="7"/>
  <c r="D820" i="7"/>
  <c r="D819" i="7"/>
  <c r="D818" i="7"/>
  <c r="D817" i="7"/>
  <c r="D816" i="7"/>
  <c r="D815" i="7"/>
  <c r="D814" i="7"/>
  <c r="D813" i="7"/>
  <c r="D812" i="7"/>
  <c r="D811" i="7"/>
  <c r="D810" i="7"/>
  <c r="D809" i="7"/>
  <c r="D808" i="7"/>
  <c r="D807" i="7"/>
  <c r="D806" i="7"/>
  <c r="D805" i="7"/>
  <c r="D804" i="7"/>
  <c r="D803" i="7"/>
  <c r="D802" i="7"/>
  <c r="D801" i="7"/>
  <c r="D800" i="7"/>
  <c r="D799" i="7"/>
  <c r="D798" i="7"/>
  <c r="D797" i="7"/>
  <c r="D796" i="7"/>
  <c r="D795" i="7"/>
  <c r="D794" i="7"/>
  <c r="D793" i="7"/>
  <c r="D792" i="7"/>
  <c r="D791" i="7"/>
  <c r="D790" i="7"/>
  <c r="D789" i="7"/>
  <c r="D788" i="7"/>
  <c r="D787" i="7"/>
  <c r="D786" i="7"/>
  <c r="D785" i="7"/>
  <c r="D784" i="7"/>
  <c r="D783" i="7"/>
  <c r="D782" i="7"/>
  <c r="D781" i="7"/>
  <c r="D780" i="7"/>
  <c r="D779" i="7"/>
  <c r="D778" i="7"/>
  <c r="D777" i="7"/>
  <c r="D776" i="7"/>
  <c r="D775" i="7"/>
  <c r="D774" i="7"/>
  <c r="D773" i="7"/>
  <c r="D772" i="7"/>
  <c r="D771" i="7"/>
  <c r="D640" i="7"/>
  <c r="D639" i="7"/>
  <c r="D638" i="7"/>
  <c r="D637" i="7"/>
  <c r="D636" i="7"/>
  <c r="D635" i="7"/>
  <c r="D634" i="7"/>
  <c r="D633" i="7"/>
  <c r="D632" i="7"/>
  <c r="D631" i="7"/>
  <c r="D630" i="7"/>
  <c r="D629" i="7"/>
  <c r="D628" i="7"/>
  <c r="D627" i="7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/>
  <c r="D613" i="7"/>
  <c r="D612" i="7"/>
  <c r="D611" i="7"/>
  <c r="D610" i="7"/>
  <c r="D609" i="7"/>
  <c r="D608" i="7"/>
  <c r="D607" i="7"/>
  <c r="D606" i="7"/>
  <c r="D605" i="7"/>
  <c r="D604" i="7"/>
  <c r="D603" i="7"/>
  <c r="D602" i="7"/>
  <c r="D601" i="7"/>
  <c r="D600" i="7"/>
  <c r="D599" i="7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84" i="7"/>
  <c r="D583" i="7"/>
  <c r="D582" i="7"/>
  <c r="D581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200" i="7"/>
  <c r="D199" i="7"/>
  <c r="D198" i="7"/>
  <c r="D197" i="7"/>
  <c r="D196" i="7"/>
  <c r="D195" i="7"/>
  <c r="D473" i="7"/>
  <c r="D472" i="7"/>
  <c r="D471" i="7"/>
  <c r="D470" i="7"/>
  <c r="D469" i="7"/>
  <c r="D468" i="7"/>
  <c r="D770" i="7"/>
  <c r="D769" i="7"/>
  <c r="D768" i="7"/>
  <c r="D767" i="7"/>
  <c r="D766" i="7"/>
  <c r="D765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764" i="7"/>
  <c r="D763" i="7"/>
  <c r="D762" i="7"/>
  <c r="D761" i="7"/>
  <c r="D760" i="7"/>
  <c r="D759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Sucursal donde se ejecuta la actividad.</t>
        </r>
      </text>
    </comment>
    <comment ref="B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Nombre de la actividad.</t>
        </r>
      </text>
    </comment>
    <comment ref="C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Tipo de actividad: seleccione Fijo o Esporádico.</t>
        </r>
      </text>
    </comment>
    <comment ref="D1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Cantidad de personas necesarias para realizarla.</t>
        </r>
      </text>
    </comment>
    <comment ref="E1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Descripción opcional de la actividad.</t>
        </r>
      </text>
    </comment>
    <comment ref="F1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Día de la semana en que se ejecuta la actividad.</t>
        </r>
      </text>
    </comment>
    <comment ref="G1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Hora de inicio en formato HH:MM.</t>
        </r>
      </text>
    </comment>
    <comment ref="H1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Hora final en formato HH:MM.</t>
        </r>
      </text>
    </comment>
    <comment ref="I1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Empleado habilitado para cubrir la actividad.</t>
        </r>
      </text>
    </comment>
    <comment ref="J1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Documento del empleado.</t>
        </r>
      </text>
    </comment>
    <comment ref="K1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Cargo del empleado.</t>
        </r>
      </text>
    </comment>
  </commentList>
</comments>
</file>

<file path=xl/sharedStrings.xml><?xml version="1.0" encoding="utf-8"?>
<sst xmlns="http://schemas.openxmlformats.org/spreadsheetml/2006/main" count="8297" uniqueCount="2085">
  <si>
    <t>Id de la Sucursal</t>
  </si>
  <si>
    <t>Nombre de la sucursal</t>
  </si>
  <si>
    <t>Dirección</t>
  </si>
  <si>
    <t>Correo</t>
  </si>
  <si>
    <t>Telefono</t>
  </si>
  <si>
    <t>Departamento</t>
  </si>
  <si>
    <t>Municipio</t>
  </si>
  <si>
    <t>Es franquicia</t>
  </si>
  <si>
    <t>Parmessano Santafe Bogota</t>
  </si>
  <si>
    <t>Calle 185 #45-03 (Local FH9)</t>
  </si>
  <si>
    <t>parmessano_santafebogota@nca.com.co</t>
  </si>
  <si>
    <t>300 6525889</t>
  </si>
  <si>
    <t>Bogota D.C.</t>
  </si>
  <si>
    <t>No</t>
  </si>
  <si>
    <t>Parmessano Gran Estacion</t>
  </si>
  <si>
    <t>Avenida Calle 26 #62-47</t>
  </si>
  <si>
    <t>parmessano_granestacion@nca.com.co</t>
  </si>
  <si>
    <t>300 6525947</t>
  </si>
  <si>
    <t>Parmessano Nuestro Bogota</t>
  </si>
  <si>
    <t>Avenida Carrera 86 #55A-75</t>
  </si>
  <si>
    <t>parmessano_nuestrobogota@nca.com.co</t>
  </si>
  <si>
    <t>300 3966697</t>
  </si>
  <si>
    <t>Parmessano Atlantis</t>
  </si>
  <si>
    <t>Calle 81 #13-05</t>
  </si>
  <si>
    <t>parmessano_atlantis@nca.com.co</t>
  </si>
  <si>
    <t>300 6525879</t>
  </si>
  <si>
    <t>Parmessano Atrio</t>
  </si>
  <si>
    <t>Calle 28 #13A-15</t>
  </si>
  <si>
    <t>parmessano_atrio@nca.com.co</t>
  </si>
  <si>
    <t>300 3966575</t>
  </si>
  <si>
    <t>Parmessano Unicentro</t>
  </si>
  <si>
    <t>Avenida 15 #124-30</t>
  </si>
  <si>
    <t>parmessano_unicentrobgta@nca.com.co</t>
  </si>
  <si>
    <t>sin linea</t>
  </si>
  <si>
    <t>Area de servicio</t>
  </si>
  <si>
    <t>Estacion</t>
  </si>
  <si>
    <t>Cocina 1</t>
  </si>
  <si>
    <t>Parrilla</t>
  </si>
  <si>
    <t>Cocina 2</t>
  </si>
  <si>
    <t>Pastas</t>
  </si>
  <si>
    <t>Risottos</t>
  </si>
  <si>
    <t>Freidora / Apanados</t>
  </si>
  <si>
    <t>Cocina Fria</t>
  </si>
  <si>
    <t>Cocina 3</t>
  </si>
  <si>
    <t>Stewart</t>
  </si>
  <si>
    <t>Stoker</t>
  </si>
  <si>
    <t>Bar</t>
  </si>
  <si>
    <t>Jugos</t>
  </si>
  <si>
    <t>Sodas</t>
  </si>
  <si>
    <t>Todo Fresa</t>
  </si>
  <si>
    <t>Caja</t>
  </si>
  <si>
    <t>Panaderia Y Reposteria</t>
  </si>
  <si>
    <t>Salon</t>
  </si>
  <si>
    <t>Servicio ( Zonas )</t>
  </si>
  <si>
    <t>Caja / Toma Pedidos</t>
  </si>
  <si>
    <t>Fila ( Hostes )</t>
  </si>
  <si>
    <t>Pasa Cuentas</t>
  </si>
  <si>
    <t>Dia</t>
  </si>
  <si>
    <t>Hora de apertura</t>
  </si>
  <si>
    <t>Hora Inicio Operación</t>
  </si>
  <si>
    <t>Hora Finalización Operación</t>
  </si>
  <si>
    <t>Hora de cierre</t>
  </si>
  <si>
    <t>LUNES</t>
  </si>
  <si>
    <t>06:00</t>
  </si>
  <si>
    <t>08:00</t>
  </si>
  <si>
    <t>21:00</t>
  </si>
  <si>
    <t>22:00</t>
  </si>
  <si>
    <t>MARTES</t>
  </si>
  <si>
    <t>MIERCOLES</t>
  </si>
  <si>
    <t>JUEVES</t>
  </si>
  <si>
    <t>VIERNES</t>
  </si>
  <si>
    <t>23:00</t>
  </si>
  <si>
    <t>SABADO</t>
  </si>
  <si>
    <t>DOMINGO</t>
  </si>
  <si>
    <t>20:00</t>
  </si>
  <si>
    <t>21:30</t>
  </si>
  <si>
    <t>22:30</t>
  </si>
  <si>
    <t>23:30</t>
  </si>
  <si>
    <t>05:00</t>
  </si>
  <si>
    <t>Codigo de vinculacion</t>
  </si>
  <si>
    <t>Nombre del descanso</t>
  </si>
  <si>
    <t>Duracion (min)</t>
  </si>
  <si>
    <t>Opcional</t>
  </si>
  <si>
    <t>Item del menu</t>
  </si>
  <si>
    <t>Estacion afectada</t>
  </si>
  <si>
    <t>8P1485</t>
  </si>
  <si>
    <t>8P1327</t>
  </si>
  <si>
    <t>8P1326</t>
  </si>
  <si>
    <t>8T0014</t>
  </si>
  <si>
    <t>8P0562</t>
  </si>
  <si>
    <t>8P1558</t>
  </si>
  <si>
    <t>8P1451</t>
  </si>
  <si>
    <t>8P1487</t>
  </si>
  <si>
    <t>8P0552</t>
  </si>
  <si>
    <t>8P0017</t>
  </si>
  <si>
    <t>8P0571</t>
  </si>
  <si>
    <t>8P0020</t>
  </si>
  <si>
    <t>8T0217</t>
  </si>
  <si>
    <t>8P1356</t>
  </si>
  <si>
    <t>8P0027</t>
  </si>
  <si>
    <t>8T0003</t>
  </si>
  <si>
    <t>8T0005</t>
  </si>
  <si>
    <t>8T0006</t>
  </si>
  <si>
    <t>8T0009</t>
  </si>
  <si>
    <t>8P1017</t>
  </si>
  <si>
    <t>8P0653</t>
  </si>
  <si>
    <t>8P0029</t>
  </si>
  <si>
    <t>8P0566</t>
  </si>
  <si>
    <t>8P0478</t>
  </si>
  <si>
    <t>8P0039</t>
  </si>
  <si>
    <t>8P0480</t>
  </si>
  <si>
    <t>8P0040</t>
  </si>
  <si>
    <t>8P0044</t>
  </si>
  <si>
    <t>8P0422</t>
  </si>
  <si>
    <t>8T0015</t>
  </si>
  <si>
    <t>8P0045</t>
  </si>
  <si>
    <t>8P0048</t>
  </si>
  <si>
    <t>8P0049</t>
  </si>
  <si>
    <t>8P1471</t>
  </si>
  <si>
    <t>8P1470</t>
  </si>
  <si>
    <t>8P0052</t>
  </si>
  <si>
    <t>8P1486</t>
  </si>
  <si>
    <t>8P1387</t>
  </si>
  <si>
    <t>8P1266</t>
  </si>
  <si>
    <t>8P1070</t>
  </si>
  <si>
    <t>8P0061</t>
  </si>
  <si>
    <t>8P0063</t>
  </si>
  <si>
    <t>8P1488</t>
  </si>
  <si>
    <t>8P1484</t>
  </si>
  <si>
    <t>8P0657</t>
  </si>
  <si>
    <t>8P0561</t>
  </si>
  <si>
    <t>8P1012</t>
  </si>
  <si>
    <t>8P0065</t>
  </si>
  <si>
    <t>8P0066</t>
  </si>
  <si>
    <t>8P1116</t>
  </si>
  <si>
    <t>8P0068</t>
  </si>
  <si>
    <t>8P0069</t>
  </si>
  <si>
    <t>8P0070</t>
  </si>
  <si>
    <t>8P0071</t>
  </si>
  <si>
    <t>8P1385</t>
  </si>
  <si>
    <t>8P0079</t>
  </si>
  <si>
    <t>8P0073</t>
  </si>
  <si>
    <t>8P0074</t>
  </si>
  <si>
    <t>8P0075</t>
  </si>
  <si>
    <t>8P0076</t>
  </si>
  <si>
    <t>8P0570</t>
  </si>
  <si>
    <t>8P1430</t>
  </si>
  <si>
    <t>8P1536</t>
  </si>
  <si>
    <t>8P0080</t>
  </si>
  <si>
    <t>8P0574</t>
  </si>
  <si>
    <t>8T0018</t>
  </si>
  <si>
    <t>8P1094</t>
  </si>
  <si>
    <t>8P1095</t>
  </si>
  <si>
    <t>8T0417</t>
  </si>
  <si>
    <t>8P0621</t>
  </si>
  <si>
    <t>8P1459</t>
  </si>
  <si>
    <t>8P0622</t>
  </si>
  <si>
    <t>8P0624</t>
  </si>
  <si>
    <t>8P0623</t>
  </si>
  <si>
    <t>8P1218</t>
  </si>
  <si>
    <t>8P1346</t>
  </si>
  <si>
    <t>8P1464</t>
  </si>
  <si>
    <t>8P1463</t>
  </si>
  <si>
    <t>8P1380</t>
  </si>
  <si>
    <t>8P1278</t>
  </si>
  <si>
    <t>8T0026</t>
  </si>
  <si>
    <t>8P1083</t>
  </si>
  <si>
    <t>8P1436</t>
  </si>
  <si>
    <t>8T0198</t>
  </si>
  <si>
    <t>8T0414</t>
  </si>
  <si>
    <t>8P1354</t>
  </si>
  <si>
    <t>8P1457</t>
  </si>
  <si>
    <t>8P0324</t>
  </si>
  <si>
    <t>8P1254</t>
  </si>
  <si>
    <t>8P0325</t>
  </si>
  <si>
    <t>8P1410</t>
  </si>
  <si>
    <t>8P1408</t>
  </si>
  <si>
    <t>8P1409</t>
  </si>
  <si>
    <t>8P1411</t>
  </si>
  <si>
    <t>8P0387</t>
  </si>
  <si>
    <t>8P1336</t>
  </si>
  <si>
    <t>8P1108</t>
  </si>
  <si>
    <t>8P0277</t>
  </si>
  <si>
    <t>8P1456</t>
  </si>
  <si>
    <t>8P1325</t>
  </si>
  <si>
    <t>8P1296</t>
  </si>
  <si>
    <t>8P1295</t>
  </si>
  <si>
    <t>8T0033</t>
  </si>
  <si>
    <t>8T0390</t>
  </si>
  <si>
    <t>8T0185</t>
  </si>
  <si>
    <t>8P0393</t>
  </si>
  <si>
    <t>8T0042</t>
  </si>
  <si>
    <t>8T0485</t>
  </si>
  <si>
    <t>8T0486</t>
  </si>
  <si>
    <t>8T0037</t>
  </si>
  <si>
    <t>8T0389</t>
  </si>
  <si>
    <t>8P0391</t>
  </si>
  <si>
    <t>8T0040</t>
  </si>
  <si>
    <t>8P0394</t>
  </si>
  <si>
    <t>8T0043</t>
  </si>
  <si>
    <t>8T0436</t>
  </si>
  <si>
    <t>8P1170</t>
  </si>
  <si>
    <t>8P0104</t>
  </si>
  <si>
    <t>8P1078</t>
  </si>
  <si>
    <t>8T0044</t>
  </si>
  <si>
    <t>8T0045</t>
  </si>
  <si>
    <t>8T0046</t>
  </si>
  <si>
    <t>8P0395</t>
  </si>
  <si>
    <t>8T0047</t>
  </si>
  <si>
    <t>8T0193</t>
  </si>
  <si>
    <t>8T0049</t>
  </si>
  <si>
    <t>8P0109</t>
  </si>
  <si>
    <t>8P1103</t>
  </si>
  <si>
    <t>Licores</t>
  </si>
  <si>
    <t>8P1102</t>
  </si>
  <si>
    <t>8P1101</t>
  </si>
  <si>
    <t>8P1100</t>
  </si>
  <si>
    <t>8P1098</t>
  </si>
  <si>
    <t>8P1096</t>
  </si>
  <si>
    <t>8P1099</t>
  </si>
  <si>
    <t>8P1097</t>
  </si>
  <si>
    <t>8P1460</t>
  </si>
  <si>
    <t>8P0121</t>
  </si>
  <si>
    <t>8P0122</t>
  </si>
  <si>
    <t>8T0330</t>
  </si>
  <si>
    <t>8T0053</t>
  </si>
  <si>
    <t>8T0416</t>
  </si>
  <si>
    <t>8P1516</t>
  </si>
  <si>
    <t>8P0279</t>
  </si>
  <si>
    <t>8P1177</t>
  </si>
  <si>
    <t>8P1255</t>
  </si>
  <si>
    <t>8P1407</t>
  </si>
  <si>
    <t>8P1405</t>
  </si>
  <si>
    <t>8P1406</t>
  </si>
  <si>
    <t>8P1556</t>
  </si>
  <si>
    <t>8P1443</t>
  </si>
  <si>
    <t>8P1400</t>
  </si>
  <si>
    <t>8P1442</t>
  </si>
  <si>
    <t>8P1288</t>
  </si>
  <si>
    <t>8P0245</t>
  </si>
  <si>
    <t>8P1245</t>
  </si>
  <si>
    <t>8P0163</t>
  </si>
  <si>
    <t>8P0162</t>
  </si>
  <si>
    <t>8P1522</t>
  </si>
  <si>
    <t>8P1418</t>
  </si>
  <si>
    <t>8P0057</t>
  </si>
  <si>
    <t>8P0295</t>
  </si>
  <si>
    <t>8P0531</t>
  </si>
  <si>
    <t>8P1435</t>
  </si>
  <si>
    <t>8P0130</t>
  </si>
  <si>
    <t>8P1552</t>
  </si>
  <si>
    <t>8T0411</t>
  </si>
  <si>
    <t>8T0409</t>
  </si>
  <si>
    <t>8T0408</t>
  </si>
  <si>
    <t>8T0412</t>
  </si>
  <si>
    <t>8T0410</t>
  </si>
  <si>
    <t>8P1549</t>
  </si>
  <si>
    <t>8T0066</t>
  </si>
  <si>
    <t>8P1439</t>
  </si>
  <si>
    <t>8T0451</t>
  </si>
  <si>
    <t>8P1315</t>
  </si>
  <si>
    <t>8P1236</t>
  </si>
  <si>
    <t>8P1239</t>
  </si>
  <si>
    <t>8P1444</t>
  </si>
  <si>
    <t>8P1557</t>
  </si>
  <si>
    <t>8T0075</t>
  </si>
  <si>
    <t>8T0076</t>
  </si>
  <si>
    <t>8P1497</t>
  </si>
  <si>
    <t>8P1539</t>
  </si>
  <si>
    <t>8P1501</t>
  </si>
  <si>
    <t>8P1500</t>
  </si>
  <si>
    <t>8P1498</t>
  </si>
  <si>
    <t>8P1157</t>
  </si>
  <si>
    <t>8P1166</t>
  </si>
  <si>
    <t>8P1502</t>
  </si>
  <si>
    <t>8P1499</t>
  </si>
  <si>
    <t>8P1504</t>
  </si>
  <si>
    <t>8P1503</t>
  </si>
  <si>
    <t>8P1555</t>
  </si>
  <si>
    <t>8T0334</t>
  </si>
  <si>
    <t>8T0084</t>
  </si>
  <si>
    <t>8T0413</t>
  </si>
  <si>
    <t>8T0415</t>
  </si>
  <si>
    <t>8P0275</t>
  </si>
  <si>
    <t>8P0529</t>
  </si>
  <si>
    <t>8T0231</t>
  </si>
  <si>
    <t>8P0396</t>
  </si>
  <si>
    <t>8T0087</t>
  </si>
  <si>
    <t>8P0526</t>
  </si>
  <si>
    <t>8T0420</t>
  </si>
  <si>
    <t>8P1041</t>
  </si>
  <si>
    <t>8P1274</t>
  </si>
  <si>
    <t>8P1090</t>
  </si>
  <si>
    <t>8P1092</t>
  </si>
  <si>
    <t>8P1091</t>
  </si>
  <si>
    <t>8P1093</t>
  </si>
  <si>
    <t>8P1089</t>
  </si>
  <si>
    <t>8P0352</t>
  </si>
  <si>
    <t>8T0460</t>
  </si>
  <si>
    <t>8T0459</t>
  </si>
  <si>
    <t>8P1234</t>
  </si>
  <si>
    <t>8P1232</t>
  </si>
  <si>
    <t>8P1233</t>
  </si>
  <si>
    <t>8P1401</t>
  </si>
  <si>
    <t>8P0329</t>
  </si>
  <si>
    <t>8P1247</t>
  </si>
  <si>
    <t>8P0373</t>
  </si>
  <si>
    <t>8P0397</t>
  </si>
  <si>
    <t>8P0398</t>
  </si>
  <si>
    <t>8P0375</t>
  </si>
  <si>
    <t>8P0401</t>
  </si>
  <si>
    <t>8P0402</t>
  </si>
  <si>
    <t>8P1455</t>
  </si>
  <si>
    <t>8P1454</t>
  </si>
  <si>
    <t>8P1458</t>
  </si>
  <si>
    <t>8P0165</t>
  </si>
  <si>
    <t>8T0099</t>
  </si>
  <si>
    <t>8T0100</t>
  </si>
  <si>
    <t>8P0167</t>
  </si>
  <si>
    <t>8T0108</t>
  </si>
  <si>
    <t>8T0110</t>
  </si>
  <si>
    <t>8P0379</t>
  </si>
  <si>
    <t>8P0173</t>
  </si>
  <si>
    <t>8T0111</t>
  </si>
  <si>
    <t>8P0527</t>
  </si>
  <si>
    <t>8T0254</t>
  </si>
  <si>
    <t>8T0321</t>
  </si>
  <si>
    <t>8P1224</t>
  </si>
  <si>
    <t>8P1216</t>
  </si>
  <si>
    <t>8P0290</t>
  </si>
  <si>
    <t>8P1462</t>
  </si>
  <si>
    <t>8P1461</t>
  </si>
  <si>
    <t>8P1342</t>
  </si>
  <si>
    <t>8T0210</t>
  </si>
  <si>
    <t>8P0327</t>
  </si>
  <si>
    <t>8P1246</t>
  </si>
  <si>
    <t>8T0488</t>
  </si>
  <si>
    <t>8T0345</t>
  </si>
  <si>
    <t>8P1273</t>
  </si>
  <si>
    <t>8P1257</t>
  </si>
  <si>
    <t>8T0122</t>
  </si>
  <si>
    <t>8P1391</t>
  </si>
  <si>
    <t>8P1237</t>
  </si>
  <si>
    <t>8P1225</t>
  </si>
  <si>
    <t>8T0336</t>
  </si>
  <si>
    <t>8T0207</t>
  </si>
  <si>
    <t>8P1527</t>
  </si>
  <si>
    <t>8T0131</t>
  </si>
  <si>
    <t>8P0703</t>
  </si>
  <si>
    <t>8T0132</t>
  </si>
  <si>
    <t>8P1235</t>
  </si>
  <si>
    <t>8P1244</t>
  </si>
  <si>
    <t>8T0133</t>
  </si>
  <si>
    <t>8P1297</t>
  </si>
  <si>
    <t>8P1146</t>
  </si>
  <si>
    <t>8P1050</t>
  </si>
  <si>
    <t>8P1530</t>
  </si>
  <si>
    <t>8P1049</t>
  </si>
  <si>
    <t>8P1528</t>
  </si>
  <si>
    <t>8P1051</t>
  </si>
  <si>
    <t>8P1529</t>
  </si>
  <si>
    <t>8T0378</t>
  </si>
  <si>
    <t>8P0292</t>
  </si>
  <si>
    <t>8P0293</t>
  </si>
  <si>
    <t>8T0139</t>
  </si>
  <si>
    <t>8P1514</t>
  </si>
  <si>
    <t>8P0639</t>
  </si>
  <si>
    <t>8P1519</t>
  </si>
  <si>
    <t>8P1468</t>
  </si>
  <si>
    <t>8T0476</t>
  </si>
  <si>
    <t>8T0487</t>
  </si>
  <si>
    <t>8T0344</t>
  </si>
  <si>
    <t>8T0318</t>
  </si>
  <si>
    <t>8T0452</t>
  </si>
  <si>
    <t>8T0474</t>
  </si>
  <si>
    <t>8T0324</t>
  </si>
  <si>
    <t>8T0477</t>
  </si>
  <si>
    <t>8T0495</t>
  </si>
  <si>
    <t>8T0478</t>
  </si>
  <si>
    <t>8T0475</t>
  </si>
  <si>
    <t>8T0326</t>
  </si>
  <si>
    <t>8T0472</t>
  </si>
  <si>
    <t>8T0327</t>
  </si>
  <si>
    <t>8T0328</t>
  </si>
  <si>
    <t>8T0473</t>
  </si>
  <si>
    <t>8P1546</t>
  </si>
  <si>
    <t>8P1072</t>
  </si>
  <si>
    <t>8P0409</t>
  </si>
  <si>
    <t>8P1226</t>
  </si>
  <si>
    <t>8P1228</t>
  </si>
  <si>
    <t>8P1229</t>
  </si>
  <si>
    <t>8P1537</t>
  </si>
  <si>
    <t>8P1532</t>
  </si>
  <si>
    <t>8P1483</t>
  </si>
  <si>
    <t>8P1481</t>
  </si>
  <si>
    <t>8P1478</t>
  </si>
  <si>
    <t>8P1477</t>
  </si>
  <si>
    <t>8P1479</t>
  </si>
  <si>
    <t>8P1480</t>
  </si>
  <si>
    <t>8P1476</t>
  </si>
  <si>
    <t>8P1475</t>
  </si>
  <si>
    <t>8P1482</t>
  </si>
  <si>
    <t>8P1525</t>
  </si>
  <si>
    <t>8P1526</t>
  </si>
  <si>
    <t>8P1524</t>
  </si>
  <si>
    <t>8P1523</t>
  </si>
  <si>
    <t>8P1222</t>
  </si>
  <si>
    <t>8P1465</t>
  </si>
  <si>
    <t>8P0688</t>
  </si>
  <si>
    <t>8P1217</t>
  </si>
  <si>
    <t>8P1248</t>
  </si>
  <si>
    <t>8P1341</t>
  </si>
  <si>
    <t>8P1329</t>
  </si>
  <si>
    <t>8P1438</t>
  </si>
  <si>
    <t>8P0249</t>
  </si>
  <si>
    <t>8P0452</t>
  </si>
  <si>
    <t>8P1198</t>
  </si>
  <si>
    <t>8P0252</t>
  </si>
  <si>
    <t>8P1422</t>
  </si>
  <si>
    <t>8P0254</t>
  </si>
  <si>
    <t>8P1521</t>
  </si>
  <si>
    <t>8P1520</t>
  </si>
  <si>
    <t>8P1429</t>
  </si>
  <si>
    <t>8P1298</t>
  </si>
  <si>
    <t>8P1538</t>
  </si>
  <si>
    <t>8P1489</t>
  </si>
  <si>
    <t>8P1164</t>
  </si>
  <si>
    <t>8P1491</t>
  </si>
  <si>
    <t>8P0512</t>
  </si>
  <si>
    <t>8P1492</t>
  </si>
  <si>
    <t>8P1495</t>
  </si>
  <si>
    <t>8P1496</t>
  </si>
  <si>
    <t>8P1490</t>
  </si>
  <si>
    <t>8P1493</t>
  </si>
  <si>
    <t>8P1494</t>
  </si>
  <si>
    <t>8P1467</t>
  </si>
  <si>
    <t>8P1469</t>
  </si>
  <si>
    <t>8P1339</t>
  </si>
  <si>
    <t>8P1553</t>
  </si>
  <si>
    <t>8P1554</t>
  </si>
  <si>
    <t>8P0998</t>
  </si>
  <si>
    <t>8P0602</t>
  </si>
  <si>
    <t>8P1437</t>
  </si>
  <si>
    <t>8T0340</t>
  </si>
  <si>
    <t>8P1338</t>
  </si>
  <si>
    <t>8T0337</t>
  </si>
  <si>
    <t>8T0338</t>
  </si>
  <si>
    <t>8P1508</t>
  </si>
  <si>
    <t>8P1505</t>
  </si>
  <si>
    <t>8P1512</t>
  </si>
  <si>
    <t>8P1162</t>
  </si>
  <si>
    <t>8P1509</t>
  </si>
  <si>
    <t>8P1513</t>
  </si>
  <si>
    <t>8P1506</t>
  </si>
  <si>
    <t>8P1510</t>
  </si>
  <si>
    <t>8P1511</t>
  </si>
  <si>
    <t>8P1383</t>
  </si>
  <si>
    <t>8P0984</t>
  </si>
  <si>
    <t>8P1302</t>
  </si>
  <si>
    <t>8T0019</t>
  </si>
  <si>
    <t>8T0170</t>
  </si>
  <si>
    <t>8T0027</t>
  </si>
  <si>
    <t>8P1413</t>
  </si>
  <si>
    <t>8P0417</t>
  </si>
  <si>
    <t>8P1412</t>
  </si>
  <si>
    <t>8T0174</t>
  </si>
  <si>
    <t>8P0543</t>
  </si>
  <si>
    <t>8P1359</t>
  </si>
  <si>
    <t>8P1531</t>
  </si>
  <si>
    <t>Numero de documento</t>
  </si>
  <si>
    <t>Nivel</t>
  </si>
  <si>
    <t>BASICO</t>
  </si>
  <si>
    <t>AVANZADO</t>
  </si>
  <si>
    <t>INTERMEDIO</t>
  </si>
  <si>
    <t>Sucursal</t>
  </si>
  <si>
    <t>Parmessano Atlantis Bogota</t>
  </si>
  <si>
    <t>Parmessano Unicentro Bogotá</t>
  </si>
  <si>
    <t>Nombre de la actividad</t>
  </si>
  <si>
    <t>Tipo</t>
  </si>
  <si>
    <t>Personas necesarias</t>
  </si>
  <si>
    <t>Descripción</t>
  </si>
  <si>
    <t>Nombre del empleado</t>
  </si>
  <si>
    <t>Número de documento</t>
  </si>
  <si>
    <t>Cargo</t>
  </si>
  <si>
    <t>Tipo de documento</t>
  </si>
  <si>
    <t>Nombre</t>
  </si>
  <si>
    <t>Tipo de vinculacion</t>
  </si>
  <si>
    <t>Dia dominical</t>
  </si>
  <si>
    <t>CC</t>
  </si>
  <si>
    <t>MARISOL VALENCIA RIOS</t>
  </si>
  <si>
    <t>3505155030</t>
  </si>
  <si>
    <t>hofmannerwin95@gmail.com</t>
  </si>
  <si>
    <t>CF</t>
  </si>
  <si>
    <t>FELIPE DÍAZ DUQUE</t>
  </si>
  <si>
    <t>3212532727</t>
  </si>
  <si>
    <t>kchun.evs@gmail.com</t>
  </si>
  <si>
    <t>JUAN JOSE MENDOZA CORDERO</t>
  </si>
  <si>
    <t>3116407020</t>
  </si>
  <si>
    <t>christianhr1995@gmail.com</t>
  </si>
  <si>
    <t>JUAN FELIPE GALEANO ROJAS</t>
  </si>
  <si>
    <t>3218576986</t>
  </si>
  <si>
    <t>eddiejosediaz28@gmail.com</t>
  </si>
  <si>
    <t>RENE ALBERTO DE BARROETA</t>
  </si>
  <si>
    <t>3112471806</t>
  </si>
  <si>
    <t>pedrojosemarquina@gmail.com</t>
  </si>
  <si>
    <t>JOSE RODRIGUEZ HERRERA</t>
  </si>
  <si>
    <t>3202764350</t>
  </si>
  <si>
    <t>erikagoi@hotmail.com</t>
  </si>
  <si>
    <t>SHARON YOLITZE DIAZ RAMIREZ</t>
  </si>
  <si>
    <t>3150583734</t>
  </si>
  <si>
    <t>alex.marchan0101@gmail.com</t>
  </si>
  <si>
    <t>YULY BIBIANA PILLIMUE ECHEVERRY</t>
  </si>
  <si>
    <t>3114962876</t>
  </si>
  <si>
    <t>milviannys1@gmail.com</t>
  </si>
  <si>
    <t>NANCI PAOLA CORPAS ALVARADO</t>
  </si>
  <si>
    <t>3144462719</t>
  </si>
  <si>
    <t>greypita76@gmail.com</t>
  </si>
  <si>
    <t>MARÍA ISABEL ALVAREZ CALLE</t>
  </si>
  <si>
    <t>3182755580</t>
  </si>
  <si>
    <t>jaimevalba27@gmail.com</t>
  </si>
  <si>
    <t>JHON ALEXANDER PABON VEGA</t>
  </si>
  <si>
    <t>3166703074</t>
  </si>
  <si>
    <t>yersonmanuel2691@gmail.com</t>
  </si>
  <si>
    <t>Cristian Javier Morales Sanabria</t>
  </si>
  <si>
    <t>3002526758</t>
  </si>
  <si>
    <t>jsh.lml91@gmail.com</t>
  </si>
  <si>
    <t>LISNEY YINETH MANJARRES ZAPATA</t>
  </si>
  <si>
    <t>NULL</t>
  </si>
  <si>
    <t>JANIS DAYANA MADERA BELTRAN</t>
  </si>
  <si>
    <t>3124043480</t>
  </si>
  <si>
    <t>jorgejudoka3444@gmail.com</t>
  </si>
  <si>
    <t>LAURA PENAGOS HOLGUIN</t>
  </si>
  <si>
    <t>3175401165</t>
  </si>
  <si>
    <t>yoraimamaestre3030@gmail.com</t>
  </si>
  <si>
    <t>LINA ANDREA RIVERA MARULANDA</t>
  </si>
  <si>
    <t>3212587590</t>
  </si>
  <si>
    <t>mendezpaddy@gmail.com</t>
  </si>
  <si>
    <t>ANGIE VANESSA SUAREZ DUQUE</t>
  </si>
  <si>
    <t>3228880303</t>
  </si>
  <si>
    <t>jabneelgonzalez2@gmail.com</t>
  </si>
  <si>
    <t>ANGELA PLACINIS MARTINEZ ASPRILLA</t>
  </si>
  <si>
    <t>3204448901</t>
  </si>
  <si>
    <t>yormanescalante1996@gmail.com</t>
  </si>
  <si>
    <t>CARLOS FELIPE USUGA DAVID</t>
  </si>
  <si>
    <t>3022185998</t>
  </si>
  <si>
    <t>EDGARDITOMARTINEZ5@GMAIL.COM</t>
  </si>
  <si>
    <t>KAREN SOFIA RIVERO ROCHA</t>
  </si>
  <si>
    <t>3177090473</t>
  </si>
  <si>
    <t>danielaginetteaularquiva@gmail.com</t>
  </si>
  <si>
    <t>ESTEFANIA ROMAN HENAO</t>
  </si>
  <si>
    <t>3005754668</t>
  </si>
  <si>
    <t>daularquiva@gmail.com</t>
  </si>
  <si>
    <t>CRISTIAN LUQUE GOMEZ</t>
  </si>
  <si>
    <t>KREIBER JOSE RAMIREZ UGAZ</t>
  </si>
  <si>
    <t>3042922986</t>
  </si>
  <si>
    <t>fabianjimenezpasero@gmail.com</t>
  </si>
  <si>
    <t>XIMENA BECERRA PATIÑO</t>
  </si>
  <si>
    <t>3227827215</t>
  </si>
  <si>
    <t>pao.jereza19@gmail.com</t>
  </si>
  <si>
    <t>DANIELA ANDREA ARCIA OSPINO</t>
  </si>
  <si>
    <t>3203617768</t>
  </si>
  <si>
    <t>figueraadrice@gmail.com</t>
  </si>
  <si>
    <t>EDGAR ALEJANDRO GARZON PACHECO</t>
  </si>
  <si>
    <t>3058313229</t>
  </si>
  <si>
    <t>enderm076@gmail.com</t>
  </si>
  <si>
    <t>ROGER DANIEL EBRAT BELTRAN</t>
  </si>
  <si>
    <t>3214987003</t>
  </si>
  <si>
    <t>damelysfigueroa@gmail.com</t>
  </si>
  <si>
    <t>ANGIE LORENA RIVERA CORTAZAR</t>
  </si>
  <si>
    <t>3203880479</t>
  </si>
  <si>
    <t>LUDWING_5562@HOTMAIL.COM</t>
  </si>
  <si>
    <t>ALEXANDER DE JESÚS CASTAÑO PARRA</t>
  </si>
  <si>
    <t>3133434723</t>
  </si>
  <si>
    <t>Maria_gabriela_1592@hotmail.com</t>
  </si>
  <si>
    <t>JULIAN ARLEY AGUDELO NARANJO</t>
  </si>
  <si>
    <t>3118682813</t>
  </si>
  <si>
    <t>payarespilar81@gmail.com</t>
  </si>
  <si>
    <t>YOLIMAR NAKARI MEDINA ESCALONA</t>
  </si>
  <si>
    <t>3023440647</t>
  </si>
  <si>
    <t>Trejoalbani6@gmail.com</t>
  </si>
  <si>
    <t>JUAN PABLO LOTERO GIRALDO</t>
  </si>
  <si>
    <t>3106690095</t>
  </si>
  <si>
    <t>anasalasg524@gmail.com</t>
  </si>
  <si>
    <t>ERIKA RAMIREZ RAMIREZ</t>
  </si>
  <si>
    <t>3135144950</t>
  </si>
  <si>
    <t>zulyferrer8@gmail.com</t>
  </si>
  <si>
    <t>LISSETH VANESA LOPEZ YEPES</t>
  </si>
  <si>
    <t>3223180280</t>
  </si>
  <si>
    <t>elcryscoa1362@gmail.com</t>
  </si>
  <si>
    <t>BRYHAN BEDOYA POSADA</t>
  </si>
  <si>
    <t>3002952181</t>
  </si>
  <si>
    <t>nesyelygutierrez@gmail.com</t>
  </si>
  <si>
    <t>ESNAILER JESUS VELASQUEZ MARTINEZ</t>
  </si>
  <si>
    <t>3005521049</t>
  </si>
  <si>
    <t>deinyrethnava@gmail.com</t>
  </si>
  <si>
    <t>ROBERTO ALVAREZ RESTREPO</t>
  </si>
  <si>
    <t>3028371909</t>
  </si>
  <si>
    <t>javoalexander26@gmail.com</t>
  </si>
  <si>
    <t>JHON FREDY VILLERA MONTIEL</t>
  </si>
  <si>
    <t>baquix_25@hotmail.com</t>
  </si>
  <si>
    <t>JUAN CARLOS GONZALEZ HINCAPIE</t>
  </si>
  <si>
    <t>3186762752</t>
  </si>
  <si>
    <t>azaelperozo@gmail.com</t>
  </si>
  <si>
    <t>FREDDY ESTIVEN GIL SERNA</t>
  </si>
  <si>
    <t>3015535481</t>
  </si>
  <si>
    <t>daniclases2021@gmail.com</t>
  </si>
  <si>
    <t>HUDITH REGUILLOS TORRES</t>
  </si>
  <si>
    <t>3132934974</t>
  </si>
  <si>
    <t>favirv.18@gmail.com</t>
  </si>
  <si>
    <t>JUAN NICOLAS GOMEZ VASQUEZ</t>
  </si>
  <si>
    <t>3246352746</t>
  </si>
  <si>
    <t>karinagruber47@gmail.com</t>
  </si>
  <si>
    <t>LINA SUJEY HOLGUIN VELEZ</t>
  </si>
  <si>
    <t>3239167342</t>
  </si>
  <si>
    <t>naibeye35@gmail.com</t>
  </si>
  <si>
    <t>ANDRES FELIPE GUTIERRES HERNANDEZ</t>
  </si>
  <si>
    <t>3006165171</t>
  </si>
  <si>
    <t>Villadiegorafael1978@gmail.com</t>
  </si>
  <si>
    <t>FREIMY ALFREDO PEROZO LOPEZ</t>
  </si>
  <si>
    <t>3002798587</t>
  </si>
  <si>
    <t>sarmientoperezelkin@gmail.com</t>
  </si>
  <si>
    <t>LUZ DARY GOMEZ MORENO</t>
  </si>
  <si>
    <t>3043888062</t>
  </si>
  <si>
    <t>je.remybol@hotmail.com</t>
  </si>
  <si>
    <t>DAMARYS DEL VALLE SEGOVIA</t>
  </si>
  <si>
    <t>3134889502</t>
  </si>
  <si>
    <t>martinescobarcalderon@gmail.com</t>
  </si>
  <si>
    <t>ELIANY SIOLIMAR PALMA OSUNA</t>
  </si>
  <si>
    <t>3138073755</t>
  </si>
  <si>
    <t>jwaltergiraldo8@gmail.com</t>
  </si>
  <si>
    <t>DEINIYS ALFONSO SALAZAR REQUENA</t>
  </si>
  <si>
    <t>3196644621</t>
  </si>
  <si>
    <t>annytam1982@outlook.com</t>
  </si>
  <si>
    <t>GOMEZ CHADID JOHAN SEBASTIAN</t>
  </si>
  <si>
    <t>3107565235</t>
  </si>
  <si>
    <t>carmenzaracheng@gmail.com</t>
  </si>
  <si>
    <t>ALBERTO JOSE MUÑOZ TOBON</t>
  </si>
  <si>
    <t>3102220233</t>
  </si>
  <si>
    <t>mariaromero.1@hotmail.com</t>
  </si>
  <si>
    <t>NICOLAS ALONSO VANEGAS LONDOÑO</t>
  </si>
  <si>
    <t>3107735699</t>
  </si>
  <si>
    <t>mestreyarley1@gmail.com</t>
  </si>
  <si>
    <t>JOSE LUIS NOREÑA</t>
  </si>
  <si>
    <t>3216933205</t>
  </si>
  <si>
    <t>mileyalexa84@gmail.com</t>
  </si>
  <si>
    <t>FREDDY JUNIORS MERCADO GUTIERREZ</t>
  </si>
  <si>
    <t>3003293613</t>
  </si>
  <si>
    <t>deimidaniela@hotmail.com</t>
  </si>
  <si>
    <t>GREYBIS BARAZARTE CARDOZO</t>
  </si>
  <si>
    <t>3006974591</t>
  </si>
  <si>
    <t>pipe_0525-13@hotmail.com</t>
  </si>
  <si>
    <t>JORGE LUIS GOMEZ RESTREPO</t>
  </si>
  <si>
    <t>3202219028</t>
  </si>
  <si>
    <t>mmonicayineth@gmail.com</t>
  </si>
  <si>
    <t>ADOLFO ALVAREZ MENDOZA</t>
  </si>
  <si>
    <t>3205519664</t>
  </si>
  <si>
    <t>andreitaci@hotmail.com</t>
  </si>
  <si>
    <t>LUISA FERNANDA MOSQUERA LOZANO</t>
  </si>
  <si>
    <t>3028472175</t>
  </si>
  <si>
    <t>sandra80.tovar@gmail.com</t>
  </si>
  <si>
    <t>LINA MARIA RIVERA</t>
  </si>
  <si>
    <t>3213322990</t>
  </si>
  <si>
    <t>francybeltran01@hotmail.com</t>
  </si>
  <si>
    <t>YUSNEYDI COROMOTO LAREZ JUAREZ</t>
  </si>
  <si>
    <t>3112672768</t>
  </si>
  <si>
    <t>napahi27@gmail.com</t>
  </si>
  <si>
    <t>SANTIAGO RESTREPO GARCIA</t>
  </si>
  <si>
    <t>3143183082</t>
  </si>
  <si>
    <t>jackeobeso@gmail.com</t>
  </si>
  <si>
    <t>ALEX DANIEL GIMENEZ BRACHO</t>
  </si>
  <si>
    <t>3142524412</t>
  </si>
  <si>
    <t>sofilala52@gmail.com</t>
  </si>
  <si>
    <t>Edier Jose Galvis Falon</t>
  </si>
  <si>
    <t>3044501985</t>
  </si>
  <si>
    <t>angelikapa2017@gmail.com</t>
  </si>
  <si>
    <t>JOSE ALEJANDRO GOMEZ MEJIAS</t>
  </si>
  <si>
    <t>3112067020</t>
  </si>
  <si>
    <t>pao25072009@gmail.com</t>
  </si>
  <si>
    <t>LUIS MANUEL SANCHEZ MONAGAS</t>
  </si>
  <si>
    <t>3116726137</t>
  </si>
  <si>
    <t>sandraperilla81@gmail.com</t>
  </si>
  <si>
    <t>MARLON DAVER CASTRO GUERRERO</t>
  </si>
  <si>
    <t>3142473815</t>
  </si>
  <si>
    <t>dayanadaniela1605@gmail.com</t>
  </si>
  <si>
    <t>ERIKA MARIA GOMEZ LEON</t>
  </si>
  <si>
    <t>3116848226</t>
  </si>
  <si>
    <t>taty8451@gmail.com</t>
  </si>
  <si>
    <t>JOSE GUILLERMO LOPERA MORALES</t>
  </si>
  <si>
    <t>3006796209</t>
  </si>
  <si>
    <t>luzninin@gmail.com</t>
  </si>
  <si>
    <t>JUAN CARLOS BARRETO LUNA</t>
  </si>
  <si>
    <t>laelmendez_@hotmail.com</t>
  </si>
  <si>
    <t>ADRIANA MARIA ACEVEDO</t>
  </si>
  <si>
    <t>3007429116</t>
  </si>
  <si>
    <t>juan-esteban8328@hotmail.com</t>
  </si>
  <si>
    <t>SAHIBERT TERAN TOVAR</t>
  </si>
  <si>
    <t>3006007775</t>
  </si>
  <si>
    <t>prasca2577@gmail.com</t>
  </si>
  <si>
    <t>ANA PATRICIA FLOREZ SEGURO</t>
  </si>
  <si>
    <t>3142708083</t>
  </si>
  <si>
    <t>Jorgevisbal469@gmail.com</t>
  </si>
  <si>
    <t>EDUWIN  ANDRES QUERALES RODRIGUEZ</t>
  </si>
  <si>
    <t>3204813378</t>
  </si>
  <si>
    <t>andresbeltran2000@hotmail.com</t>
  </si>
  <si>
    <t>VIVIANA CORDOBA</t>
  </si>
  <si>
    <t>3125624028</t>
  </si>
  <si>
    <t>hermes24duarte@gmail.com</t>
  </si>
  <si>
    <t>SANTIAGO TABORDA FLOREZ</t>
  </si>
  <si>
    <t>3102481333</t>
  </si>
  <si>
    <t>migue.5_70@gmail.com</t>
  </si>
  <si>
    <t>ADRIANA MUSTAFA RUIZ</t>
  </si>
  <si>
    <t>3172656723</t>
  </si>
  <si>
    <t>williamrozoc@gmail.com</t>
  </si>
  <si>
    <t>EXCELMERY CASTRO SALDARRIAGA</t>
  </si>
  <si>
    <t>3016882017</t>
  </si>
  <si>
    <t>jjrodriguez70_@hotmail.com</t>
  </si>
  <si>
    <t>FRANK WILLIAN QUINTERO CASTAÑO</t>
  </si>
  <si>
    <t>3012758745</t>
  </si>
  <si>
    <t>julianmore12@gmail.com</t>
  </si>
  <si>
    <t>DIANA CAROLINA VILLAZON</t>
  </si>
  <si>
    <t>3223944107</t>
  </si>
  <si>
    <t>jai18mar@gmail.com</t>
  </si>
  <si>
    <t>UBEIMAR ALEXIS QUINTERO CASTAÑO</t>
  </si>
  <si>
    <t>3124892244</t>
  </si>
  <si>
    <t>carlosjj97@hotmail.com</t>
  </si>
  <si>
    <t>RUDDY MILAGROS DE SOUSA BARROETA</t>
  </si>
  <si>
    <t>3224554594</t>
  </si>
  <si>
    <t>Hugov_@outlook.com</t>
  </si>
  <si>
    <t>JEIDY TATIANA VARGAS RESTREPO</t>
  </si>
  <si>
    <t>3213232571</t>
  </si>
  <si>
    <t>DAVID_BUSTOS82@YAHOO.ES</t>
  </si>
  <si>
    <t>DIANA MARCELA PACHECO OTERO</t>
  </si>
  <si>
    <t>3108044762</t>
  </si>
  <si>
    <t>andresano81kid@hotmail.com</t>
  </si>
  <si>
    <t>CARLOS HERNAN GARCIA CIFUENTES</t>
  </si>
  <si>
    <t>3229127703</t>
  </si>
  <si>
    <t>edisonprieto@gmail.com</t>
  </si>
  <si>
    <t>YORSE RAFAEL PACHECO RAMIREZ</t>
  </si>
  <si>
    <t>3133630586</t>
  </si>
  <si>
    <t>wilsonpatrick135@gmail.com</t>
  </si>
  <si>
    <t>JHON JAIRO HERRERA HENAO</t>
  </si>
  <si>
    <t>3235039899</t>
  </si>
  <si>
    <t>andresmunozreyescidb@gmail.com</t>
  </si>
  <si>
    <t>CESAR ENRIQUE BRACHO PACHECO</t>
  </si>
  <si>
    <t>3118492171</t>
  </si>
  <si>
    <t>lctrujillo15@gmail.com</t>
  </si>
  <si>
    <t>JOHN ALEXANDER RIOS RUIZ</t>
  </si>
  <si>
    <t>3233030262</t>
  </si>
  <si>
    <t>edwincontreras1540@gmail.com</t>
  </si>
  <si>
    <t>ENDER RAMON ALVARADO SILVA</t>
  </si>
  <si>
    <t>3504510141</t>
  </si>
  <si>
    <t>gonzalo06.25.01@gmail.com</t>
  </si>
  <si>
    <t>DAGNERY DEL VALLE CAFFELLA APONTE</t>
  </si>
  <si>
    <t>3105306535</t>
  </si>
  <si>
    <t>johanalexanderfonsecaforero@gmail.com</t>
  </si>
  <si>
    <t>YEIDY CATALINA TABORDA RESTREPO</t>
  </si>
  <si>
    <t>3209264287</t>
  </si>
  <si>
    <t>shipo181@gmail.com</t>
  </si>
  <si>
    <t>LUISA FERNANDA PEREA MOSQUERA</t>
  </si>
  <si>
    <t>3154101592</t>
  </si>
  <si>
    <t>Stybenmoreno@gmail.com</t>
  </si>
  <si>
    <t>MONIKA ISABEL CASTAÑO MENA</t>
  </si>
  <si>
    <t>3103105480</t>
  </si>
  <si>
    <t>cristianluqueg@gmail.com</t>
  </si>
  <si>
    <t>ANGELO MOSQUERA</t>
  </si>
  <si>
    <t>3202588782</t>
  </si>
  <si>
    <t>keaxsa@gmail.com</t>
  </si>
  <si>
    <t>SEBASTIAN CASTAÑO SANCHEZ</t>
  </si>
  <si>
    <t>3142101333</t>
  </si>
  <si>
    <t>gersonroa53@gmail.com</t>
  </si>
  <si>
    <t>ISMAEL XAVIER HERNANDEZ GONZALEZ</t>
  </si>
  <si>
    <t>3206557917</t>
  </si>
  <si>
    <t>kritian08@hotmail.com</t>
  </si>
  <si>
    <t>Jonathan Vera Tangarife</t>
  </si>
  <si>
    <t>3162772336</t>
  </si>
  <si>
    <t>chingate2000@gmail.com</t>
  </si>
  <si>
    <t>LAURA MELISSA POSADA DURANGO</t>
  </si>
  <si>
    <t>3214289177</t>
  </si>
  <si>
    <t>jslrodriguezcisf@gmail.com</t>
  </si>
  <si>
    <t>ANGEL DAVID LEAL ALVARADO</t>
  </si>
  <si>
    <t>3148465119</t>
  </si>
  <si>
    <t>stivenmorenopino@gmail.com</t>
  </si>
  <si>
    <t>MARIA YOLANDA MUÑOZ RAMIREZ</t>
  </si>
  <si>
    <t>3193815563</t>
  </si>
  <si>
    <t>ramirezleidydayana5.@gmail.com</t>
  </si>
  <si>
    <t>YEFERSON GABRIEL ROMERO YANES</t>
  </si>
  <si>
    <t>3223925644</t>
  </si>
  <si>
    <t>ESTEBANPARRATIQUE@HOTMAIL.COM</t>
  </si>
  <si>
    <t>LILIANA JIMENEZ MARTINEZ</t>
  </si>
  <si>
    <t>3123406697</t>
  </si>
  <si>
    <t>mv8792213@gmail.com</t>
  </si>
  <si>
    <t>EIMY DAHIANA BAÑOL MEJIA</t>
  </si>
  <si>
    <t>3123373215</t>
  </si>
  <si>
    <t>aldanaerika7@gmail.com</t>
  </si>
  <si>
    <t>STEPHANY VASQUEZ HINCAPIE</t>
  </si>
  <si>
    <t>3239453099</t>
  </si>
  <si>
    <t>geraldine1657@hotmail.com</t>
  </si>
  <si>
    <t>WILSON VARGAS BLANDON</t>
  </si>
  <si>
    <t>3026527055</t>
  </si>
  <si>
    <t>garzonyatedavidfelipe@gmail.com</t>
  </si>
  <si>
    <t>JUAN DAVID CAMARGO GARCIA</t>
  </si>
  <si>
    <t>3150617695</t>
  </si>
  <si>
    <t>juanpvaldes19@gmail.com</t>
  </si>
  <si>
    <t>Julianny carolina Morales moreno</t>
  </si>
  <si>
    <t>3213304471</t>
  </si>
  <si>
    <t>andresfelipe_mar@hotmail.com</t>
  </si>
  <si>
    <t>Nadia Katherine Montes rojas</t>
  </si>
  <si>
    <t>3042054842</t>
  </si>
  <si>
    <t>edwinalexander@gmail.com</t>
  </si>
  <si>
    <t>Anwy Paola Agudelo Giraldo</t>
  </si>
  <si>
    <t>3226893145</t>
  </si>
  <si>
    <t>dlaaern@gmail.com</t>
  </si>
  <si>
    <t>Katherin Campiño estrada</t>
  </si>
  <si>
    <t>3152458199</t>
  </si>
  <si>
    <t>mayorquin742@gmail.com</t>
  </si>
  <si>
    <t>NATALIA MILENA RAMIREZ GARCIA</t>
  </si>
  <si>
    <t>CAMILAALEJANDRA2228@GMAIL.COM</t>
  </si>
  <si>
    <t>Jendribel Dubraska Rangel Jiménez</t>
  </si>
  <si>
    <t>3150507055</t>
  </si>
  <si>
    <t>ronaldcampoaguilar@gmail.com</t>
  </si>
  <si>
    <t>Leydy Johana Acevedo Uribe</t>
  </si>
  <si>
    <t>3014798901</t>
  </si>
  <si>
    <t>AURAHARLY@GMAIL.COM</t>
  </si>
  <si>
    <t>Gloria Janet Restrepo Agudelo</t>
  </si>
  <si>
    <t>3124279799</t>
  </si>
  <si>
    <t>PACHECOCOJIA@GMAIL.COM</t>
  </si>
  <si>
    <t>ALBERTO LUIS HERNANDEZ AGUILON</t>
  </si>
  <si>
    <t>3156992928</t>
  </si>
  <si>
    <t>giselalicona1214@gmail.com</t>
  </si>
  <si>
    <t>CHARON GUARIN BARRIOS</t>
  </si>
  <si>
    <t>3168609330</t>
  </si>
  <si>
    <t>Paolanaez@gmail.com</t>
  </si>
  <si>
    <t>JORGE IVAN SALABARRIA PEREZ</t>
  </si>
  <si>
    <t>3232201781</t>
  </si>
  <si>
    <t>leidyportela31@gmail.com</t>
  </si>
  <si>
    <t>DIONE  NODIER ARANGO ZAPATA</t>
  </si>
  <si>
    <t>3118625557</t>
  </si>
  <si>
    <t>Lcortesculma@gmail.com</t>
  </si>
  <si>
    <t>GENESIS RAQUEL CASTRO GARCIA</t>
  </si>
  <si>
    <t>3108197653</t>
  </si>
  <si>
    <t>angiecamelo25g@gmail.com</t>
  </si>
  <si>
    <t>SINDY GIOVANA GARCIA RUIZ</t>
  </si>
  <si>
    <t>3016535388</t>
  </si>
  <si>
    <t>flibol04@gmail.com</t>
  </si>
  <si>
    <t>MARIANGEL DAVILA BETHENCOURT</t>
  </si>
  <si>
    <t>3245597943</t>
  </si>
  <si>
    <t>slanderosacevedo@gmail.com</t>
  </si>
  <si>
    <t>DIANA CAROLINA MOLINA MONSALVE</t>
  </si>
  <si>
    <t>3165823655</t>
  </si>
  <si>
    <t>josedavidtrujilloperez0@gmail.com</t>
  </si>
  <si>
    <t>KELLY KARINA GALLEGO GALEANO</t>
  </si>
  <si>
    <t>3208929937</t>
  </si>
  <si>
    <t>naslyyluna6@gmail.com</t>
  </si>
  <si>
    <t>RONALD JESUS FLOREZ ACOSTA</t>
  </si>
  <si>
    <t>3138339938</t>
  </si>
  <si>
    <t>alegon103@gmail.com</t>
  </si>
  <si>
    <t>BYRON EDUARDO ACOSTA GARCIA</t>
  </si>
  <si>
    <t>3057325462</t>
  </si>
  <si>
    <t>pipecepeda20@gmail.com</t>
  </si>
  <si>
    <t>ANILI MARIU CASIQUE VILLANUEVA</t>
  </si>
  <si>
    <t>3046349125</t>
  </si>
  <si>
    <t>kmariadokoe3015angelito@hotmail.com</t>
  </si>
  <si>
    <t>MIGUEL ANGEL PULGARIN MAYA</t>
  </si>
  <si>
    <t>3145126231</t>
  </si>
  <si>
    <t>WILLIAMFONSECA_30@HOTMAIL.COM</t>
  </si>
  <si>
    <t>JEAN CARLOS FUENMAYOR REDONDO</t>
  </si>
  <si>
    <t>3112778609</t>
  </si>
  <si>
    <t>rozodominguezjhonfredy@gmail.com</t>
  </si>
  <si>
    <t>FERNANDO RAFAEL BELLO BAEZ</t>
  </si>
  <si>
    <t>3042375657</t>
  </si>
  <si>
    <t>lizbetmurcia87@gmail.com</t>
  </si>
  <si>
    <t>RICHARD ANDRES TAPIA PEÑA</t>
  </si>
  <si>
    <t>3228312626</t>
  </si>
  <si>
    <t>alejandro07ximenez@outlook.com</t>
  </si>
  <si>
    <t>MIGUEL ANGEL SANCHEZ QUINTERO</t>
  </si>
  <si>
    <t>3105012924</t>
  </si>
  <si>
    <t>k.e.moro@hotmail.com</t>
  </si>
  <si>
    <t>JESSICA ANDREA YEPEZ VILLA</t>
  </si>
  <si>
    <t>3204036071</t>
  </si>
  <si>
    <t>camimt627@gmail.com</t>
  </si>
  <si>
    <t>JUAN CARLOS LOPEZ CASTRILLON</t>
  </si>
  <si>
    <t>3108661163</t>
  </si>
  <si>
    <t>alejandra-9603@hotmail.com</t>
  </si>
  <si>
    <t>Gildardo De Jesus Caro Montoya</t>
  </si>
  <si>
    <t>3043026733</t>
  </si>
  <si>
    <t>NATHUCAMARGO@HOTMAIL.COM</t>
  </si>
  <si>
    <t>Diana Patricia Grajales Herrera</t>
  </si>
  <si>
    <t>3046179777</t>
  </si>
  <si>
    <t>crisbetanc777@gmail.com</t>
  </si>
  <si>
    <t>Olga Emerita Yepez Lezcano</t>
  </si>
  <si>
    <t>3219243688</t>
  </si>
  <si>
    <t>NICOLEMAIANC@GMAIL.COM</t>
  </si>
  <si>
    <t>Diana Yanet Henao Arias</t>
  </si>
  <si>
    <t>3144081617</t>
  </si>
  <si>
    <t>cars1013@hotmail.com</t>
  </si>
  <si>
    <t>Luz Marleny Monsalve Gil</t>
  </si>
  <si>
    <t>3102993565</t>
  </si>
  <si>
    <t>carmonamelissa174@gmail.com</t>
  </si>
  <si>
    <t>Alejandra Maria Monsalve Pineda</t>
  </si>
  <si>
    <t>3222214730</t>
  </si>
  <si>
    <t>andrearozo1992@gmail.com</t>
  </si>
  <si>
    <t>Maria Trinidad Marin Franco</t>
  </si>
  <si>
    <t>3123039362</t>
  </si>
  <si>
    <t>botero964@gmail.com</t>
  </si>
  <si>
    <t>CLAUDIA PATRICIA SANTAMARIA GONZALEZ</t>
  </si>
  <si>
    <t>3142551816</t>
  </si>
  <si>
    <t>edwinneme@gmail.com</t>
  </si>
  <si>
    <t>Sandra Minelly Grisales Sepulveda</t>
  </si>
  <si>
    <t>3016175018</t>
  </si>
  <si>
    <t>suarezyorledis232@gmail.com</t>
  </si>
  <si>
    <t>Maribel Garcia Moreno</t>
  </si>
  <si>
    <t>3202623986</t>
  </si>
  <si>
    <t>elianaalejandrag8@gmail.com</t>
  </si>
  <si>
    <t>Maria Aracelly Arboleda Giraldo</t>
  </si>
  <si>
    <t>3143622112</t>
  </si>
  <si>
    <t>narvaez.liam112324@gmail.com</t>
  </si>
  <si>
    <t>Dora Alicia Davila Bolivar</t>
  </si>
  <si>
    <t>3153718378</t>
  </si>
  <si>
    <t>dani_marquez68@hotmail.com</t>
  </si>
  <si>
    <t>Tarcila De La Cruz Mejia</t>
  </si>
  <si>
    <t>3136720995</t>
  </si>
  <si>
    <t>paramojair02@gmail.com</t>
  </si>
  <si>
    <t>Gabriel Angel Velez</t>
  </si>
  <si>
    <t>Eduar Farley Giraldo Quiroz</t>
  </si>
  <si>
    <t>3213441494</t>
  </si>
  <si>
    <t>alex_cdlm@hotmail.com</t>
  </si>
  <si>
    <t>German De Jesus Ossa Obando</t>
  </si>
  <si>
    <t>3223597414</t>
  </si>
  <si>
    <t>yordanmoya@hotmail.com</t>
  </si>
  <si>
    <t>Javier Osvaldo Jimenez Quintero</t>
  </si>
  <si>
    <t>3105536612</t>
  </si>
  <si>
    <t>jdrodriguez9691@gmail.com</t>
  </si>
  <si>
    <t>Elkin Albeiro Alzate Calderon</t>
  </si>
  <si>
    <t>3003961092</t>
  </si>
  <si>
    <t>miguelangelhuertas20@hotmail.com</t>
  </si>
  <si>
    <t>Jhon Alexander Restrepo Correa</t>
  </si>
  <si>
    <t>3202414136</t>
  </si>
  <si>
    <t>nathalybedoya05@gmail.com</t>
  </si>
  <si>
    <t>Sebastian Alexis Acevedo Ramirez</t>
  </si>
  <si>
    <t>3106737678</t>
  </si>
  <si>
    <t>rioramirezmariafernanda717@gmail.com</t>
  </si>
  <si>
    <t>Wilson David Echeverri Londoño</t>
  </si>
  <si>
    <t>3108585315</t>
  </si>
  <si>
    <t>XIMEL1807@GMAIL.COM</t>
  </si>
  <si>
    <t>Luis Gonzalo Mazo Escobar</t>
  </si>
  <si>
    <t>3123691617</t>
  </si>
  <si>
    <t>ximenadms@gmail.com</t>
  </si>
  <si>
    <t>Karla Cristina Muñoz Garcia</t>
  </si>
  <si>
    <t>3124939056</t>
  </si>
  <si>
    <t>vanessafuertesdiaz@gmail.com</t>
  </si>
  <si>
    <t>Oscar Antonio Miranda Beleño</t>
  </si>
  <si>
    <t>3112603947</t>
  </si>
  <si>
    <t>cartagenera1991@gmail.com</t>
  </si>
  <si>
    <t>Paola Andrea Bedoya Borja</t>
  </si>
  <si>
    <t>3203843973</t>
  </si>
  <si>
    <t>insandarajuliana@gmail.com</t>
  </si>
  <si>
    <t>Gregoria Del Carmen Agamez</t>
  </si>
  <si>
    <t>3143637846</t>
  </si>
  <si>
    <t>dmateusramirez@gmail.com</t>
  </si>
  <si>
    <t>Jesus Alberto Mosquera Troconis</t>
  </si>
  <si>
    <t>3103405912</t>
  </si>
  <si>
    <t>dievel8702@gmail.com</t>
  </si>
  <si>
    <t>Jeimy Viviana Ramirez Martinez</t>
  </si>
  <si>
    <t>3219671568</t>
  </si>
  <si>
    <t>camicartru25@gmail.com</t>
  </si>
  <si>
    <t>Johana Smith Acevedo Acevedo</t>
  </si>
  <si>
    <t>3133237244</t>
  </si>
  <si>
    <t>laurazamora2825@gmail.com</t>
  </si>
  <si>
    <t>Jose Nolberto Sanchez Marin</t>
  </si>
  <si>
    <t>3142073900</t>
  </si>
  <si>
    <t>tilciacalderon@gmail.com</t>
  </si>
  <si>
    <t>Alba Rosa Guerra Vanegas</t>
  </si>
  <si>
    <t>3216997358</t>
  </si>
  <si>
    <t>Giraldomaribel808@gmail.com</t>
  </si>
  <si>
    <t>HERNAN AUGUSTO BRIZUELA RIOS</t>
  </si>
  <si>
    <t>3134338438</t>
  </si>
  <si>
    <t>marthacherrera2017@gmail.com</t>
  </si>
  <si>
    <t>Yudi Duviana Diaz Rendon</t>
  </si>
  <si>
    <t>3045797165</t>
  </si>
  <si>
    <t>brayandoom@gmail.com</t>
  </si>
  <si>
    <t>John Jaime Rodriguez Fitz-Gerald</t>
  </si>
  <si>
    <t>3203310723</t>
  </si>
  <si>
    <t>lopezmorad@gmail.com</t>
  </si>
  <si>
    <t>Edilberto Antonio Holguin Cifuentes</t>
  </si>
  <si>
    <t>3003828952</t>
  </si>
  <si>
    <t>reinaldokey77@gmail.com</t>
  </si>
  <si>
    <t>LUZMERY VAHOS ORTIZ</t>
  </si>
  <si>
    <t>3219426329</t>
  </si>
  <si>
    <t>luisarturoriveragil@gmail.com</t>
  </si>
  <si>
    <t>Maria Yaneth Munera Gutierrez</t>
  </si>
  <si>
    <t>3154779831</t>
  </si>
  <si>
    <t>manuelalarrotta98@gmail.com</t>
  </si>
  <si>
    <t>Yeniffer Andrea Bonilla Mesa</t>
  </si>
  <si>
    <t>3016556204</t>
  </si>
  <si>
    <t>juanafuquenc78@gmail.com</t>
  </si>
  <si>
    <t>Rosalba Isaza Lopez</t>
  </si>
  <si>
    <t>3122265453</t>
  </si>
  <si>
    <t>Tomsoyer_4@hotmail.com</t>
  </si>
  <si>
    <t>Jose Francisco Javier Arcila Gonzalez</t>
  </si>
  <si>
    <t>3022542737</t>
  </si>
  <si>
    <t>dianacaroli90@hotmail.com</t>
  </si>
  <si>
    <t>Luz Mery Sierra Calle</t>
  </si>
  <si>
    <t>3058149089</t>
  </si>
  <si>
    <t>jhonatan-day@hotmail.com</t>
  </si>
  <si>
    <t>Clara Rosa Usuga</t>
  </si>
  <si>
    <t>3216414913</t>
  </si>
  <si>
    <t>proncancio91@gmail.com</t>
  </si>
  <si>
    <t>Jader Manuel Plaza Ruiz</t>
  </si>
  <si>
    <t>3102755719</t>
  </si>
  <si>
    <t>cristian.chef9423@gmail.com</t>
  </si>
  <si>
    <t>JUAN LUIS BLANCO RODRIGUEZ</t>
  </si>
  <si>
    <t>3053991645</t>
  </si>
  <si>
    <t>andreycamilocorber@gmail.com</t>
  </si>
  <si>
    <t>Juan Alberto Ferreira De Faria</t>
  </si>
  <si>
    <t>Anyiyo357@hotmail.com</t>
  </si>
  <si>
    <t>Natalia Andrea Torres Vargas</t>
  </si>
  <si>
    <t>3014530225</t>
  </si>
  <si>
    <t>elcorreodealex90111257328@gmail.com</t>
  </si>
  <si>
    <t>Deisy Patricia Perea Mosquera</t>
  </si>
  <si>
    <t>3203195410</t>
  </si>
  <si>
    <t>Martinezalejandra398@gmail.com</t>
  </si>
  <si>
    <t>Daniel Sebastian Castaño Arroyave</t>
  </si>
  <si>
    <t>3228163330</t>
  </si>
  <si>
    <t>andres.rodriguez5308@gmail.com</t>
  </si>
  <si>
    <t>3160505208</t>
  </si>
  <si>
    <t>karemramirez3391@gmail.com</t>
  </si>
  <si>
    <t>3015799937</t>
  </si>
  <si>
    <t>GOTYE654@GMAIL.COM</t>
  </si>
  <si>
    <t>3177185322</t>
  </si>
  <si>
    <t>urregochavesdaniela1024@gmail.com</t>
  </si>
  <si>
    <t>Endy Roselin Semeco Moreno</t>
  </si>
  <si>
    <t>3214336145</t>
  </si>
  <si>
    <t>jaky9618@hotmail.com</t>
  </si>
  <si>
    <t>OLGA SULIMA GARCIA VELEZ</t>
  </si>
  <si>
    <t>3184649791</t>
  </si>
  <si>
    <t>lorenapu302@gmail.com</t>
  </si>
  <si>
    <t>YEFFERSON ALEJANDRO VELASQUEZ CHACON</t>
  </si>
  <si>
    <t>3123804775</t>
  </si>
  <si>
    <t>cexitar36@hotmail.com</t>
  </si>
  <si>
    <t>Angelica Maria Arango Tejada</t>
  </si>
  <si>
    <t>3174160369</t>
  </si>
  <si>
    <t>elianis8918@outlook.com</t>
  </si>
  <si>
    <t>Francisco Javier Gonzalez Loaiza</t>
  </si>
  <si>
    <t>3002115910</t>
  </si>
  <si>
    <t>erandrerbo@gmail.com</t>
  </si>
  <si>
    <t>Jan David Cortes Giraldo</t>
  </si>
  <si>
    <t>3505750988</t>
  </si>
  <si>
    <t>laurajulianaorjuelat@gmail.com</t>
  </si>
  <si>
    <t>Freimy Alfredo Perozo Lopez</t>
  </si>
  <si>
    <t>3144762054</t>
  </si>
  <si>
    <t>javiercuervo2017@outlook.es</t>
  </si>
  <si>
    <t>Carlos Arturo Vanegas Londoño</t>
  </si>
  <si>
    <t>3134123557</t>
  </si>
  <si>
    <t>karenchavezrios@outlook.com</t>
  </si>
  <si>
    <t>Luis Esteban Pulgarin Arroyave</t>
  </si>
  <si>
    <t>3192419740</t>
  </si>
  <si>
    <t>medinamartinj20@gmail.com</t>
  </si>
  <si>
    <t>Jose Andres Pinto Cifuentes</t>
  </si>
  <si>
    <t>3232842161</t>
  </si>
  <si>
    <t>juancarlosfierro27@gmail.com</t>
  </si>
  <si>
    <t>Martin Emilio Pinto Romero</t>
  </si>
  <si>
    <t>3027507429</t>
  </si>
  <si>
    <t>bermudezmiguel178@gmail.com</t>
  </si>
  <si>
    <t>Andres Eduardo Requena</t>
  </si>
  <si>
    <t>3125775225</t>
  </si>
  <si>
    <t>angelicasamudio6@gmail.com</t>
  </si>
  <si>
    <t>Jovana Perez Vergara</t>
  </si>
  <si>
    <t>3046308483</t>
  </si>
  <si>
    <t>lamuscris@gmail.com</t>
  </si>
  <si>
    <t>Daniel Eduardo Rojas Lopez</t>
  </si>
  <si>
    <t>3195327005</t>
  </si>
  <si>
    <t>oskr002527@gmail.com</t>
  </si>
  <si>
    <t>Jesus Salvador Aular Perdomo</t>
  </si>
  <si>
    <t>3124279870</t>
  </si>
  <si>
    <t>f12cortes@gmail.com</t>
  </si>
  <si>
    <t>Jose Leonel Serna Perez</t>
  </si>
  <si>
    <t>3022949646</t>
  </si>
  <si>
    <t>andrestrhu25@gmail.com</t>
  </si>
  <si>
    <t>Piedad Cecilia Mejia Guisao</t>
  </si>
  <si>
    <t>3238129729</t>
  </si>
  <si>
    <t>akiratoki1@gmail.com</t>
  </si>
  <si>
    <t>Alex Ulises Sosa Santamaria</t>
  </si>
  <si>
    <t>3008383052</t>
  </si>
  <si>
    <t>crstiancamilo-@hotmail.com</t>
  </si>
  <si>
    <t>Karen Vanesa Machado Moreno</t>
  </si>
  <si>
    <t>3023204641</t>
  </si>
  <si>
    <t>jfmf1033@gmail.com</t>
  </si>
  <si>
    <t>Carlos Fabian Ruiz Estupiñan</t>
  </si>
  <si>
    <t>3227547408</t>
  </si>
  <si>
    <t>dahianamontes078@gmail.com</t>
  </si>
  <si>
    <t>Eglimar Carolin Perche Fernandez</t>
  </si>
  <si>
    <t>3229410992</t>
  </si>
  <si>
    <t>marianamontesmj@gmail.com</t>
  </si>
  <si>
    <t>Bladimir Laos Quintero Pacheco</t>
  </si>
  <si>
    <t>3016767501</t>
  </si>
  <si>
    <t>rochipaeonado@gmail.com</t>
  </si>
  <si>
    <t>Ricardo Gomez Duque</t>
  </si>
  <si>
    <t>3043758746</t>
  </si>
  <si>
    <t>hliz9414@gmail.com</t>
  </si>
  <si>
    <t>Yohana Marcela Giraldo Sanchez</t>
  </si>
  <si>
    <t>3182444057</t>
  </si>
  <si>
    <t>paolabernal409@gmail.com</t>
  </si>
  <si>
    <t>Yorgelis Maria Lopez Ladino</t>
  </si>
  <si>
    <t>3227856273</t>
  </si>
  <si>
    <t>LEIDERBENJAMINURZOLAAGUDELO26@GMAIL.COM</t>
  </si>
  <si>
    <t>Jose Humberto Holguin Florez</t>
  </si>
  <si>
    <t>3224696764</t>
  </si>
  <si>
    <t>rodriguezargelis832@gmail.com</t>
  </si>
  <si>
    <t>Kemberling Marian Duarte Ruiz</t>
  </si>
  <si>
    <t>3022460367</t>
  </si>
  <si>
    <t>indygomezrodriguez11@gmail.com</t>
  </si>
  <si>
    <t>Edgar De Jesus Palacio Ospina</t>
  </si>
  <si>
    <t>3003508442</t>
  </si>
  <si>
    <t>arrietaalvize@gmail.com</t>
  </si>
  <si>
    <t>Yesica Alejandra Sanchez Ciro</t>
  </si>
  <si>
    <t>3223623647</t>
  </si>
  <si>
    <t>sandralucia.rojasrojas0@gmail.com</t>
  </si>
  <si>
    <t>Jessica Katherine Vargas Gomez</t>
  </si>
  <si>
    <t>3209615341</t>
  </si>
  <si>
    <t>santindominusaa@gmail.com</t>
  </si>
  <si>
    <t>Sonia Avila Sanchez</t>
  </si>
  <si>
    <t>3125334429</t>
  </si>
  <si>
    <t>yenisgordon310@gmail.com</t>
  </si>
  <si>
    <t>Tania Maria Castro Mosquera</t>
  </si>
  <si>
    <t>Gabriel Gomez Jimenez</t>
  </si>
  <si>
    <t>3223930509</t>
  </si>
  <si>
    <t>laura.2004.oct@gmail.com</t>
  </si>
  <si>
    <t>Carlos Jose Rojas Gomez</t>
  </si>
  <si>
    <t>3006444334</t>
  </si>
  <si>
    <t>TEBANG2525@GMAIL.COM</t>
  </si>
  <si>
    <t>Claudia Patricia Toledo Fernandez</t>
  </si>
  <si>
    <t>3233954498</t>
  </si>
  <si>
    <t>alexsebastian.rios4@gmail.com</t>
  </si>
  <si>
    <t>Jesus David Hernandez Pinzon</t>
  </si>
  <si>
    <t>3114839214</t>
  </si>
  <si>
    <t>alexdiaz1995yeyito@hotmail.com</t>
  </si>
  <si>
    <t>juliana renteria</t>
  </si>
  <si>
    <t>cristinague1985@gmail.com</t>
  </si>
  <si>
    <t>Luis Eduardo Gonzalez Gaspar</t>
  </si>
  <si>
    <t>3026488568</t>
  </si>
  <si>
    <t>ingrismedellin219@gmail.com</t>
  </si>
  <si>
    <t>LUISA FERNANDA ZULUAGA ZULUAGA</t>
  </si>
  <si>
    <t>3202329839</t>
  </si>
  <si>
    <t>JESUSDANIEL-10@HOTMAIL.COM</t>
  </si>
  <si>
    <t>Leandro Jose Delgado Marquez</t>
  </si>
  <si>
    <t>3244585581</t>
  </si>
  <si>
    <t>kasarilozano2309@gmail.com</t>
  </si>
  <si>
    <t>Merly Maria Guerra Tovar</t>
  </si>
  <si>
    <t>3143075633</t>
  </si>
  <si>
    <t>bolivarmolanosergio@gmail.com</t>
  </si>
  <si>
    <t>Claudia Elena Martinez Martinez</t>
  </si>
  <si>
    <t>3227301974</t>
  </si>
  <si>
    <t>edwinysharon24@gmail.com</t>
  </si>
  <si>
    <t>Luis Rafael Rojas Suarez</t>
  </si>
  <si>
    <t>3224126760</t>
  </si>
  <si>
    <t>dylan2005felipe@gmail.com</t>
  </si>
  <si>
    <t>Amalia Ines Gutierrez Hernandez</t>
  </si>
  <si>
    <t>3118875229</t>
  </si>
  <si>
    <t>cristiangarnicasanchez9@gmail.com</t>
  </si>
  <si>
    <t>Freddy Juniors Mercado Gutierrez</t>
  </si>
  <si>
    <t>3508378954</t>
  </si>
  <si>
    <t>miloca158@hotmail.com</t>
  </si>
  <si>
    <t>Sergio Alberto Suarez Montoya</t>
  </si>
  <si>
    <t>3118105387</t>
  </si>
  <si>
    <t>nathy940404@gmail.com</t>
  </si>
  <si>
    <t>Tatiana Andrea Diaz Manco</t>
  </si>
  <si>
    <t>3124151065</t>
  </si>
  <si>
    <t>ldhi0817@gmail.com</t>
  </si>
  <si>
    <t>Jesus Alberto Hernandez Lopez</t>
  </si>
  <si>
    <t>3138032492</t>
  </si>
  <si>
    <t>tochefang@gmail.com</t>
  </si>
  <si>
    <t>Jhonny Puerta Montoya</t>
  </si>
  <si>
    <t>3025573996</t>
  </si>
  <si>
    <t>bellayerly10@hotmail.com</t>
  </si>
  <si>
    <t>Alexander De Jesus Amador Guevara</t>
  </si>
  <si>
    <t>3123678557</t>
  </si>
  <si>
    <t>juliancastiblanco77@gmail.com</t>
  </si>
  <si>
    <t>Lina Maria Agudelo Tabares</t>
  </si>
  <si>
    <t>3223084433</t>
  </si>
  <si>
    <t>nesfaloga@hotmail.com</t>
  </si>
  <si>
    <t>Maria Del Carmen Lopera Lopez</t>
  </si>
  <si>
    <t>3028675652</t>
  </si>
  <si>
    <t>MESTHERGALANESPINOSA@GMAIL.COM</t>
  </si>
  <si>
    <t>Lael Andres Mendez Mahecha</t>
  </si>
  <si>
    <t>3134546616</t>
  </si>
  <si>
    <t>JORGEDANIEL20011203@GMAIL.COM</t>
  </si>
  <si>
    <t>William Leon Villamil Yali</t>
  </si>
  <si>
    <t>3228025156</t>
  </si>
  <si>
    <t>PEDRO.DEVIA@HOTMAIL.COM</t>
  </si>
  <si>
    <t>Sindy Yacnela Duque Sanchez</t>
  </si>
  <si>
    <t>3102293113</t>
  </si>
  <si>
    <t>Lromerorodriguez009@gmail.com</t>
  </si>
  <si>
    <t>Natalia Andrea Correa Julio</t>
  </si>
  <si>
    <t>3102787900</t>
  </si>
  <si>
    <t>jennyferyepes28@gmail.com</t>
  </si>
  <si>
    <t>Juan Gabriel Perez Mejia</t>
  </si>
  <si>
    <t>3222278877</t>
  </si>
  <si>
    <t>olivervargas317@gmail.com</t>
  </si>
  <si>
    <t>Yusneydi Coromoto Larez Juarez</t>
  </si>
  <si>
    <t>3229463702</t>
  </si>
  <si>
    <t>DD75764@gmail.com</t>
  </si>
  <si>
    <t>Julian Echavarria Vahos</t>
  </si>
  <si>
    <t>3138608264</t>
  </si>
  <si>
    <t>davidgustavo14@hotmail.com</t>
  </si>
  <si>
    <t>Nidia Cecilia Mira Gutierrez</t>
  </si>
  <si>
    <t>3142404781</t>
  </si>
  <si>
    <t>janirysoteromartinez@gmail.com</t>
  </si>
  <si>
    <t>Marcela Yulieth Martinez Blandon</t>
  </si>
  <si>
    <t>3148210760</t>
  </si>
  <si>
    <t>veronicamm1909@hotmail.com</t>
  </si>
  <si>
    <t>Andres Olmedo Tabares Escobar</t>
  </si>
  <si>
    <t>3148785177</t>
  </si>
  <si>
    <t>janner1234@gmail.com</t>
  </si>
  <si>
    <t>Leidy Yohana Marin Rincon</t>
  </si>
  <si>
    <t>3123399947</t>
  </si>
  <si>
    <t>mariana.leyva.inf@gmail.com</t>
  </si>
  <si>
    <t>Paula Andrea Echavarria Arbelaez</t>
  </si>
  <si>
    <t>3016762679</t>
  </si>
  <si>
    <t>csacosta08@gmail.com</t>
  </si>
  <si>
    <t>Sandra Milena Arbelaez</t>
  </si>
  <si>
    <t>3232908224</t>
  </si>
  <si>
    <t>DANIELOORTIZDEHORTA@GMAIL.COM</t>
  </si>
  <si>
    <t>Roselyn Del Socorro Estrada Martinez</t>
  </si>
  <si>
    <t>3152899220</t>
  </si>
  <si>
    <t>dhaveyv4@gmail.co</t>
  </si>
  <si>
    <t>Cristian Emmanuel Castro Useche</t>
  </si>
  <si>
    <t>3226255901</t>
  </si>
  <si>
    <t>danifercastro.016@gmail.com</t>
  </si>
  <si>
    <t>Lizet Andrea Roman Lemus</t>
  </si>
  <si>
    <t>3194538841</t>
  </si>
  <si>
    <t>edupita20@hotmail.com</t>
  </si>
  <si>
    <t>Raul Alberto Mazutiel Sumoza</t>
  </si>
  <si>
    <t>3174247650</t>
  </si>
  <si>
    <t>KARENYARPAZF@GMAIL.COM</t>
  </si>
  <si>
    <t>Kevin Alberdyn Pernia Chacon</t>
  </si>
  <si>
    <t>3014640852</t>
  </si>
  <si>
    <t>nikotatu07@gmail.com</t>
  </si>
  <si>
    <t>Margarita Yaneth Velez Montoya</t>
  </si>
  <si>
    <t>3003877960</t>
  </si>
  <si>
    <t>medinajosefernando97@gmail.com</t>
  </si>
  <si>
    <t>Victor Manuel Hernandez Hernandez</t>
  </si>
  <si>
    <t>3163420536</t>
  </si>
  <si>
    <t>Carolina Angel Villegas</t>
  </si>
  <si>
    <t>3227022697</t>
  </si>
  <si>
    <t>carolaycarrillocarmona@gmail.com</t>
  </si>
  <si>
    <t>Promedio de transacciones por hora</t>
  </si>
  <si>
    <t>Día de la semana</t>
  </si>
  <si>
    <t>Hora de inicio</t>
  </si>
  <si>
    <t>Hora final</t>
  </si>
  <si>
    <t>Fijo</t>
  </si>
  <si>
    <t>Revisión y alistamiento del área antes de iniciar la operación.</t>
  </si>
  <si>
    <t>pase de cominas</t>
  </si>
  <si>
    <t xml:space="preserve">patinador de  Comidas </t>
  </si>
  <si>
    <t>patinador de bebidas</t>
  </si>
  <si>
    <t>preparacion de bebidas</t>
  </si>
  <si>
    <t>MARIA ANGELICA SAMUDIO ALVARADO</t>
  </si>
  <si>
    <t>1032358964</t>
  </si>
  <si>
    <t>ERICK ANDRE RORIGUEZ BOTINA</t>
  </si>
  <si>
    <t>1026590881</t>
  </si>
  <si>
    <t>HUGO ELBERTO OMAÑA VARGAS</t>
  </si>
  <si>
    <t>79793908</t>
  </si>
  <si>
    <t>REINALDO DOUGLEN KEY VARGAS</t>
  </si>
  <si>
    <t>1019155546</t>
  </si>
  <si>
    <t>EDDIE DIAZ GONZALEZ</t>
  </si>
  <si>
    <t>1410040</t>
  </si>
  <si>
    <t>MARIA CRISTINA LAMUS GARNICA</t>
  </si>
  <si>
    <t>1032411588</t>
  </si>
  <si>
    <t>ALBERTH NICOLAS NARVAEZ ROBLES</t>
  </si>
  <si>
    <t>1014274291</t>
  </si>
  <si>
    <t>NICOLAS ALEXANDER GARZON BELTRAN</t>
  </si>
  <si>
    <t>1233909318</t>
  </si>
  <si>
    <t>BRAYAN ALFONSO LINARES HERNANDE</t>
  </si>
  <si>
    <t>1007718465</t>
  </si>
  <si>
    <t>Rebeca Beatriz  Villalobos Montero</t>
  </si>
  <si>
    <t>6543622</t>
  </si>
  <si>
    <t>JOHAN STIVEN MORENO PINO</t>
  </si>
  <si>
    <t>1000580654</t>
  </si>
  <si>
    <t>LAURA XIMENA VASQUEZ SIERRA</t>
  </si>
  <si>
    <t>1018410280</t>
  </si>
  <si>
    <t>JOSE FERNANDO MARTINEZ FONSECA</t>
  </si>
  <si>
    <t>1033756966</t>
  </si>
  <si>
    <t>INDIRA GOMEZ RODRIGUEZ</t>
  </si>
  <si>
    <t>1046404608</t>
  </si>
  <si>
    <t>DYLAN FELIPE BARBOSA PEÑUELA</t>
  </si>
  <si>
    <t>1070385532</t>
  </si>
  <si>
    <t>YARLEY DEL SOCORRO MESTRE VALLE</t>
  </si>
  <si>
    <t>36452081</t>
  </si>
  <si>
    <t>DAHIANA MONTES CEBALLOS</t>
  </si>
  <si>
    <t>1041440332</t>
  </si>
  <si>
    <t>GONZALO JUNIOR PANQUEVA NIAMPIRA</t>
  </si>
  <si>
    <t>1000120544</t>
  </si>
  <si>
    <t>SONIA TRUJILLO GARCIA</t>
  </si>
  <si>
    <t>1019047471</t>
  </si>
  <si>
    <t>MARIA JULIANA INSANDARA HIGIDIO</t>
  </si>
  <si>
    <t>1018494723</t>
  </si>
  <si>
    <t>LUIS ARTURO RIVERA GIL</t>
  </si>
  <si>
    <t>1019155792</t>
  </si>
  <si>
    <t>SHIRLEY YADIRA OROZCO SANCHEZ</t>
  </si>
  <si>
    <t>52351654</t>
  </si>
  <si>
    <t>LILI JOHANNA SANABRIA NEMENGUE</t>
  </si>
  <si>
    <t>1012407746</t>
  </si>
  <si>
    <t>LUIS ENRIQUE CANTILLO POLO</t>
  </si>
  <si>
    <t>1192899760</t>
  </si>
  <si>
    <t>ELIANA PATRICIA SALGADO MONTES</t>
  </si>
  <si>
    <t>1129500731</t>
  </si>
  <si>
    <t>FRANCY YULIETH ESCOBAR PINZON</t>
  </si>
  <si>
    <t>1101754273</t>
  </si>
  <si>
    <t>OSCAR ALEXANDER ZAMBRANO PINILLA</t>
  </si>
  <si>
    <t>1032448692</t>
  </si>
  <si>
    <t>EDGARDO MARTINEZ GONZALEZ</t>
  </si>
  <si>
    <t>5057939</t>
  </si>
  <si>
    <t>JABNEEL RADA GONZALEZ</t>
  </si>
  <si>
    <t>5016126</t>
  </si>
  <si>
    <t>BLANCA LORENA PULIDO VARGAS</t>
  </si>
  <si>
    <t>1026255909</t>
  </si>
  <si>
    <t>JOSHUA EURIPIDES PIZZANI MORRILLO</t>
  </si>
  <si>
    <t>7016718</t>
  </si>
  <si>
    <t>JHOSELYN DE JESUS VARGAS PERDOMO</t>
  </si>
  <si>
    <t>774848</t>
  </si>
  <si>
    <t>JUAN DAVID PINZON NEIRA</t>
  </si>
  <si>
    <t>1015410531</t>
  </si>
  <si>
    <t>EDWIN ALEXANDER VELASQUEZ IRAUSQUIN</t>
  </si>
  <si>
    <t>912937</t>
  </si>
  <si>
    <t>YESID INOCENCIO SANCHEZ HERNANDEZ</t>
  </si>
  <si>
    <t>1022444646</t>
  </si>
  <si>
    <t>LUIS EDUARDO ANTOLINES CAPERA</t>
  </si>
  <si>
    <t>1122724152</t>
  </si>
  <si>
    <t>DANIEL ANDRES BELTRAN FERNANDEZ</t>
  </si>
  <si>
    <t>1073681374</t>
  </si>
  <si>
    <t>DAYANA ALEJANDRA CADENA CADENA</t>
  </si>
  <si>
    <t>1054708319</t>
  </si>
  <si>
    <t>DIEGO ALEXANDER MONTES BOHORQUEZ</t>
  </si>
  <si>
    <t>1031176341</t>
  </si>
  <si>
    <t>MARIA ISABEL ARENALES OROZCO</t>
  </si>
  <si>
    <t>1014208163</t>
  </si>
  <si>
    <t>1152694217</t>
  </si>
  <si>
    <t>LUIS MANUEL ROMERO OLIVAR</t>
  </si>
  <si>
    <t>15679644</t>
  </si>
  <si>
    <t>MARIANA JESUGEY ISLA ARMAS</t>
  </si>
  <si>
    <t>821862</t>
  </si>
  <si>
    <t>CAROLINA GOMEZ LAVERDE</t>
  </si>
  <si>
    <t>1128401288</t>
  </si>
  <si>
    <t>5935815</t>
  </si>
  <si>
    <t>YSAMAR YOHSUE RINCONES GONCALVES</t>
  </si>
  <si>
    <t>5194220</t>
  </si>
  <si>
    <t>Jhonbelxon Alexi  Peña Finol</t>
  </si>
  <si>
    <t>6614855</t>
  </si>
  <si>
    <t>DEINYRETH CAROLINA NAVA CAMACHO</t>
  </si>
  <si>
    <t>6454597</t>
  </si>
  <si>
    <t>MARTHA SOFIA MORENO</t>
  </si>
  <si>
    <t>52873856</t>
  </si>
  <si>
    <t>MARIA GABRIELA MIRABAL CARRIZO</t>
  </si>
  <si>
    <t>5756332</t>
  </si>
  <si>
    <t>ERIKA CAROLINA GOITIA RESTREDO</t>
  </si>
  <si>
    <t>1479548</t>
  </si>
  <si>
    <t>FABIAN JIMENEZ PASERO</t>
  </si>
  <si>
    <t>5281103</t>
  </si>
  <si>
    <t>DANELLYS OROZCO HERRERA</t>
  </si>
  <si>
    <t>52151656</t>
  </si>
  <si>
    <t>CHRISTIAN RAFAEL HERNANDEZ RODRIGUEZ</t>
  </si>
  <si>
    <t>1245634</t>
  </si>
  <si>
    <t>KARENTH NATALY BEDOYA VALENCIA</t>
  </si>
  <si>
    <t>1016071262</t>
  </si>
  <si>
    <t>JEISON ALEXANDER MEJÍA NAVARRO</t>
  </si>
  <si>
    <t>1022964089</t>
  </si>
  <si>
    <t>CARMENZA RACHEN GUAMAN</t>
  </si>
  <si>
    <t>24070775</t>
  </si>
  <si>
    <t>ELCRIS ELENA COA JIMENEZ</t>
  </si>
  <si>
    <t>6174737</t>
  </si>
  <si>
    <t>JORGE JESUS GONZALEZ GUZMAN</t>
  </si>
  <si>
    <t>4890407</t>
  </si>
  <si>
    <t>ANDREA CATALINA CAÑON IBAÑEZ</t>
  </si>
  <si>
    <t>52391289</t>
  </si>
  <si>
    <t>ALEXANDER MANUEL MARCHAN MARCHAN</t>
  </si>
  <si>
    <t>1924588</t>
  </si>
  <si>
    <t>JUAN CARLOS APARICIO FIERRO</t>
  </si>
  <si>
    <t>1030680394</t>
  </si>
  <si>
    <t>JORGE ALFREDO LOZANO SEGURA</t>
  </si>
  <si>
    <t>1067910006</t>
  </si>
  <si>
    <t>MONICA YINETH MOLINA AMADOR</t>
  </si>
  <si>
    <t>52357758</t>
  </si>
  <si>
    <t>ENDER ALEXANDER MARQUEZ SUMOZA</t>
  </si>
  <si>
    <t>5453915</t>
  </si>
  <si>
    <t>DANIEL EDUARDO LOPEZ MORA</t>
  </si>
  <si>
    <t>1019124283</t>
  </si>
  <si>
    <t>BETANIA DE SOUSA FERNANDEZ</t>
  </si>
  <si>
    <t>4551316</t>
  </si>
  <si>
    <t>NICOLAS DE LA ESPRIELLA RODRIGUEZ</t>
  </si>
  <si>
    <t>1001215716</t>
  </si>
  <si>
    <t>PADDY FRANCISCO MENDEZ CADENA</t>
  </si>
  <si>
    <t>5011894</t>
  </si>
  <si>
    <t>DANIELA URREGO CHAVES</t>
  </si>
  <si>
    <t>1024532563</t>
  </si>
  <si>
    <t>ARGELIS ROCIO RODRIGUEZ ROJAS</t>
  </si>
  <si>
    <t>1046400639</t>
  </si>
  <si>
    <t>KEVIN AXEL SANTIAGO MONROY NOVOA</t>
  </si>
  <si>
    <t>1000223421</t>
  </si>
  <si>
    <t>LUZ ANGELICA PACHON</t>
  </si>
  <si>
    <t>52986325</t>
  </si>
  <si>
    <t>JEISON MATEO CHINGATE CANO</t>
  </si>
  <si>
    <t>1000464386</t>
  </si>
  <si>
    <t>XIOMARA QUIROGA ALFONSO</t>
  </si>
  <si>
    <t>1023866150</t>
  </si>
  <si>
    <t>LUISA FERNANDA HURTADO PINILLA</t>
  </si>
  <si>
    <t>1016951541</t>
  </si>
  <si>
    <t>LAURA JULIANA ORJUELA TINJACA</t>
  </si>
  <si>
    <t>1026595300</t>
  </si>
  <si>
    <t>CRISTIAN ADOLFO FEO CRUZ</t>
  </si>
  <si>
    <t>1022392525</t>
  </si>
  <si>
    <t>LUIS CARLOS TRUJILLO HERNANDEZ</t>
  </si>
  <si>
    <t>80771624</t>
  </si>
  <si>
    <t>GERSON EDUARDO ROA MACIAS</t>
  </si>
  <si>
    <t>1000286730</t>
  </si>
  <si>
    <t>LUNA ALEJANDRA RIOS MONCALEANO</t>
  </si>
  <si>
    <t>1193045595</t>
  </si>
  <si>
    <t>MARIA ALEJANDRA FRANCO BELTRAN</t>
  </si>
  <si>
    <t>1019130818</t>
  </si>
  <si>
    <t>KAREN VALERIA YARPAZ FONTECHE</t>
  </si>
  <si>
    <t>1233907395</t>
  </si>
  <si>
    <t>OSCAR GERARDO CAICEDO TOVAR</t>
  </si>
  <si>
    <t>1014206594</t>
  </si>
  <si>
    <t>JEIMY KARINA LOZANO PARDO</t>
  </si>
  <si>
    <t>1122649359</t>
  </si>
  <si>
    <t>EMILY DAYAN MARIN RODRIGUEZ</t>
  </si>
  <si>
    <t>1000253087</t>
  </si>
  <si>
    <t>GERMAN ALBERTO ORDOÑEZ DIAZ</t>
  </si>
  <si>
    <t>72303517</t>
  </si>
  <si>
    <t>ANA SOFIA MAHETE GUILLEN</t>
  </si>
  <si>
    <t>1000380971</t>
  </si>
  <si>
    <t>YOSEF ALEXANDER ENCISO ROJAS</t>
  </si>
  <si>
    <t>1031812916</t>
  </si>
  <si>
    <t>MARIA DEL ROSARIO TORRES HUERTAS</t>
  </si>
  <si>
    <t>1020716042</t>
  </si>
  <si>
    <t>PEDRO JOSE MARQUINA TILLERO</t>
  </si>
  <si>
    <t>1424124</t>
  </si>
  <si>
    <t>CARMEN MARIA DOKOE GIMAIDO</t>
  </si>
  <si>
    <t>1010206342</t>
  </si>
  <si>
    <t>JUAN CARLOS TOCACHON ACOSTA</t>
  </si>
  <si>
    <t>79171343</t>
  </si>
  <si>
    <t>ARNOBY DAVID CASTIBLANCO</t>
  </si>
  <si>
    <t>1020737142</t>
  </si>
  <si>
    <t>ANA MARICELA CAMELO BARRETO</t>
  </si>
  <si>
    <t>20730598</t>
  </si>
  <si>
    <t>KAREM YIVETH RAMIREZ HERNANDEZ</t>
  </si>
  <si>
    <t>1024523780</t>
  </si>
  <si>
    <t>EDISON EDUARDO PRIETO</t>
  </si>
  <si>
    <t>80144442</t>
  </si>
  <si>
    <t>TILCIA GERLEY ALFONSO CALDERON</t>
  </si>
  <si>
    <t>1019100190</t>
  </si>
  <si>
    <t>ALEXANDER DIAZ DIAZ</t>
  </si>
  <si>
    <t>1015437394</t>
  </si>
  <si>
    <t>ANDREA YINET ROZO AVILA</t>
  </si>
  <si>
    <t>1013630759</t>
  </si>
  <si>
    <t>MARIA CRISTINA GUEVARA SANCHEZ</t>
  </si>
  <si>
    <t>1059900742</t>
  </si>
  <si>
    <t>FRANCI SIRLEI BELTRAN RODRIGUEZ</t>
  </si>
  <si>
    <t>52498110</t>
  </si>
  <si>
    <t>JOSE DAVID TRUJILLO PEREZ</t>
  </si>
  <si>
    <t>1007538651</t>
  </si>
  <si>
    <t>EDUIN YESID PITA CABALLERO</t>
  </si>
  <si>
    <t>1233901862</t>
  </si>
  <si>
    <t>DANIEL GUILLERMO ORTIZ DE HORTA</t>
  </si>
  <si>
    <t>1143371733</t>
  </si>
  <si>
    <t>NATALIA ROZO CAMARGO</t>
  </si>
  <si>
    <t>1012442573</t>
  </si>
  <si>
    <t>JEISON ANDRÉS CHÁVEZ TENJO</t>
  </si>
  <si>
    <t>80129544</t>
  </si>
  <si>
    <t>YOLANDA KARINA GRUBER HINOJOSA</t>
  </si>
  <si>
    <t>7040622</t>
  </si>
  <si>
    <t>CESAR EDUARDO PINZON SANCHEZ</t>
  </si>
  <si>
    <t>1026291300</t>
  </si>
  <si>
    <t>JOSE WALTER GIRALDO LOPEZ</t>
  </si>
  <si>
    <t>18465349</t>
  </si>
  <si>
    <t>ANA KATHERINE GARCIA SALAS</t>
  </si>
  <si>
    <t>5923325</t>
  </si>
  <si>
    <t>MILDRED DEL PILAR MUÑOZ SUAREZ</t>
  </si>
  <si>
    <t>5822112</t>
  </si>
  <si>
    <t>KAREN STEFANIA CHAVEZ RIOS</t>
  </si>
  <si>
    <t>1030597501</t>
  </si>
  <si>
    <t>DANIELA ZULAY GONZALEZ MARQUEZ</t>
  </si>
  <si>
    <t>1014295158</t>
  </si>
  <si>
    <t>LUZ DARY NIÑO PIMIENTA</t>
  </si>
  <si>
    <t>57106601</t>
  </si>
  <si>
    <t>NESTOR FABIAN LOSADA GARZON</t>
  </si>
  <si>
    <t>1079177988</t>
  </si>
  <si>
    <t>NICOLAS MAYORQUIN DUARTE</t>
  </si>
  <si>
    <t>1001282010</t>
  </si>
  <si>
    <t>JUAN DIEGO RODRIGUEZ VARGAS</t>
  </si>
  <si>
    <t>1015474725</t>
  </si>
  <si>
    <t>MILVIANNYS CELESTE SILANO TINEO</t>
  </si>
  <si>
    <t>2508634</t>
  </si>
  <si>
    <t>JANUER QUEJADA AGUALIMPIA</t>
  </si>
  <si>
    <t>1128420613</t>
  </si>
  <si>
    <t>SANDRA MILENA PERILLA PERILLA</t>
  </si>
  <si>
    <t>53098607</t>
  </si>
  <si>
    <t>ELIANA ESTHER PATERNINA CENTANARO</t>
  </si>
  <si>
    <t>1026560667</t>
  </si>
  <si>
    <t>LAURA VALENTINA RODRIGUEZ AROCA</t>
  </si>
  <si>
    <t>1007646014</t>
  </si>
  <si>
    <t>GUSTAVO ANDRES GONZALEZ ARANGO</t>
  </si>
  <si>
    <t>1015066212</t>
  </si>
  <si>
    <t>CARLOS BERNARDO PEÑA MORENO</t>
  </si>
  <si>
    <t>79132253</t>
  </si>
  <si>
    <t>HENRY DAVID BUSTOS PINILLA</t>
  </si>
  <si>
    <t>80116306</t>
  </si>
  <si>
    <t>YURANIS CECILIA ROBLES VALERO</t>
  </si>
  <si>
    <t>57462390</t>
  </si>
  <si>
    <t>LUZ ADRIANA MORA GARCIA</t>
  </si>
  <si>
    <t>1003740456</t>
  </si>
  <si>
    <t>JOHN JAIRO ANZOLA CHAVEZ</t>
  </si>
  <si>
    <t>1018417343</t>
  </si>
  <si>
    <t>TANYA XIMENA JAIMES LADINO</t>
  </si>
  <si>
    <t>1016951876</t>
  </si>
  <si>
    <t>CRISTIAN LEONARDO LUGO PARRA</t>
  </si>
  <si>
    <t>1024530726</t>
  </si>
  <si>
    <t>DANIEL ENRRIQUE VARGAS VARGAS</t>
  </si>
  <si>
    <t>1022402548</t>
  </si>
  <si>
    <t>JAVIER EDUARDO URDANETA PEROZO</t>
  </si>
  <si>
    <t>1080022226</t>
  </si>
  <si>
    <t>YOSMARIS GESSABET ACOSTA MARTINEZ</t>
  </si>
  <si>
    <t>5046048</t>
  </si>
  <si>
    <t>ANGEL GABRIEL BRITO COLINA</t>
  </si>
  <si>
    <t>4154113</t>
  </si>
  <si>
    <t>ERIKA PATRICIA ARRIETA ALVIZ</t>
  </si>
  <si>
    <t>1047217016</t>
  </si>
  <si>
    <t>NICOLLE MAIAN CORTES MENDOZA</t>
  </si>
  <si>
    <t>1013102692</t>
  </si>
  <si>
    <t>JOHAN ALEXANDER FONSECA FORERO</t>
  </si>
  <si>
    <t>1000121345</t>
  </si>
  <si>
    <t>ANGIE LIZETH GAMBINO CAMELO</t>
  </si>
  <si>
    <t>1007294955</t>
  </si>
  <si>
    <t>YERSON MANUEL GUERRERO PEÑATE</t>
  </si>
  <si>
    <t>1234894275</t>
  </si>
  <si>
    <t>DANIEL ALEJANDRO HERNANDEZ DIAZ</t>
  </si>
  <si>
    <t>6661910</t>
  </si>
  <si>
    <t>CRISTIAN ALEJANDRO JIMENEZ BOHORQUEZ</t>
  </si>
  <si>
    <t>1012387879</t>
  </si>
  <si>
    <t>GIOVANNI JIMENEZ TOVAR</t>
  </si>
  <si>
    <t>79602473</t>
  </si>
  <si>
    <t>DANIELA MATEUS RAMIREZ</t>
  </si>
  <si>
    <t>1018513915</t>
  </si>
  <si>
    <t>ANDRES MUÑOZ REYES</t>
  </si>
  <si>
    <t>80187171</t>
  </si>
  <si>
    <t>LEIDY YURANI PORTELA LOPEZ</t>
  </si>
  <si>
    <t>1005740782</t>
  </si>
  <si>
    <t>LEIDY DAYANA RAMIREZ HERNANDEZ</t>
  </si>
  <si>
    <t>1000689153</t>
  </si>
  <si>
    <t>ALEX SEBASTIAN RIOS RAMIREZ</t>
  </si>
  <si>
    <t>1057893263</t>
  </si>
  <si>
    <t>JUAN CAMILO RODRIGUEZ GUZMAN</t>
  </si>
  <si>
    <t>1033694230</t>
  </si>
  <si>
    <t>JACKELINE SAAVEDRA OBESO</t>
  </si>
  <si>
    <t>52778145</t>
  </si>
  <si>
    <t>DAYANA DANIELA VIUCHE MENDEZ</t>
  </si>
  <si>
    <t>53118295</t>
  </si>
  <si>
    <t>JAIRO LUIS YANES GALAN</t>
  </si>
  <si>
    <t>1007483163</t>
  </si>
  <si>
    <t>EDISON FABIAN HERRAN DIAZ</t>
  </si>
  <si>
    <t>1000128690</t>
  </si>
  <si>
    <t>MARIA ALEJANDRA PARRA TOVAR</t>
  </si>
  <si>
    <t>1012429383</t>
  </si>
  <si>
    <t>MICHAEL ARLES TAPIAS CRUZ</t>
  </si>
  <si>
    <t>1012423376</t>
  </si>
  <si>
    <t>CARLOS JULIO SOLANO BUITRAGO</t>
  </si>
  <si>
    <t>79786359</t>
  </si>
  <si>
    <t>YERLI CAROLINA MULCUE OME</t>
  </si>
  <si>
    <t>1075305300</t>
  </si>
  <si>
    <t>YORAIMA ELIZABETH MAESTRE HERNANDEZ</t>
  </si>
  <si>
    <t>4987108</t>
  </si>
  <si>
    <t>DANIEL FERNANDO CASTRO CHAVEZ</t>
  </si>
  <si>
    <t>1233688333</t>
  </si>
  <si>
    <t>DANIEL RUBIANO  ARANDA</t>
  </si>
  <si>
    <t>1029143869</t>
  </si>
  <si>
    <t>YENIFER YISNETH YATE TURRIAGO</t>
  </si>
  <si>
    <t>1007434371</t>
  </si>
  <si>
    <t>EDWIN ARTURO DUARTE ANGULO</t>
  </si>
  <si>
    <t>1090441409</t>
  </si>
  <si>
    <t>MARIA UZCATEGUI ROJAS</t>
  </si>
  <si>
    <t>4873181</t>
  </si>
  <si>
    <t>PAOLA ANDREA NAÑEZ CAVIEDES</t>
  </si>
  <si>
    <t>1003812236</t>
  </si>
  <si>
    <t>SERGIO BOLIVAR MOLANO</t>
  </si>
  <si>
    <t>1069154044</t>
  </si>
  <si>
    <t>MARILIA GIULIANA GONZALEZ REYNA DE SAKIBARU</t>
  </si>
  <si>
    <t>1189656</t>
  </si>
  <si>
    <t>YAN CARLOS LOZANO MADRIGAL</t>
  </si>
  <si>
    <t>1007396452</t>
  </si>
  <si>
    <t>DIANA PAOLA MORENO PUENTES</t>
  </si>
  <si>
    <t>53007874</t>
  </si>
  <si>
    <t>MARYNES ROJAS CARRILLO</t>
  </si>
  <si>
    <t>1063619077</t>
  </si>
  <si>
    <t>FRANCELIS ALEJANDRA LOPEZ PALMA</t>
  </si>
  <si>
    <t>5204313</t>
  </si>
  <si>
    <t>SANTIAGO DAVID ALVAREZ ALVAREZ</t>
  </si>
  <si>
    <t>1052836126</t>
  </si>
  <si>
    <t>EDWIN ALEJANDRO RODRIGUEZ PEREZ</t>
  </si>
  <si>
    <t>1070014271</t>
  </si>
  <si>
    <t>ANDRES FELIPE ROJAS LEON</t>
  </si>
  <si>
    <t>1018491243</t>
  </si>
  <si>
    <t>ENEYDA PAOLA JEREZ ARAUJO</t>
  </si>
  <si>
    <t>5380284</t>
  </si>
  <si>
    <t>EDWIN CONTRERAS PENAGOS</t>
  </si>
  <si>
    <t>80912321</t>
  </si>
  <si>
    <t>ZULY ANGELI FERRER DAVILA</t>
  </si>
  <si>
    <t>6063677</t>
  </si>
  <si>
    <t>JHON JAIRO PRASCA DE LA OSSA</t>
  </si>
  <si>
    <t>72267674</t>
  </si>
  <si>
    <t>CRISTIAN CAMILO MUÑOZ CARDENAS</t>
  </si>
  <si>
    <t>1033743277</t>
  </si>
  <si>
    <t>CAMILA ALEJANDRA ESCOBAR LOZANO</t>
  </si>
  <si>
    <t>1001885355</t>
  </si>
  <si>
    <t>DANIELA GINETTE AULAR QUIVA</t>
  </si>
  <si>
    <t>5152122</t>
  </si>
  <si>
    <t>JHONATAN RICARDO SEPULVEDA AGUILAR</t>
  </si>
  <si>
    <t>1020816666</t>
  </si>
  <si>
    <t>EDWIN ALEXANDER MARTINEZ SARMIENTO</t>
  </si>
  <si>
    <t>1001176185</t>
  </si>
  <si>
    <t>MARIA DE PILAR ROMERO CONTRERAS</t>
  </si>
  <si>
    <t>36451606</t>
  </si>
  <si>
    <t>INGRIS TATIANA SAEZ MEDELLIN</t>
  </si>
  <si>
    <t>1063300351</t>
  </si>
  <si>
    <t>YORMAN ANGULO ESCALANTE</t>
  </si>
  <si>
    <t>5034016</t>
  </si>
  <si>
    <t>JOHN ALEXANDER TREJO  VALBUENA</t>
  </si>
  <si>
    <t>5844757</t>
  </si>
  <si>
    <t>SARAY ESTHER LANDEROS ACEVEDO</t>
  </si>
  <si>
    <t>1007504115</t>
  </si>
  <si>
    <t>EDWIN JUVENAL NEME VARGAS</t>
  </si>
  <si>
    <t>1014234044</t>
  </si>
  <si>
    <t>ROSA ELVIRA DONADO SIERRA</t>
  </si>
  <si>
    <t>1042440539</t>
  </si>
  <si>
    <t>MARÍA ALEJANDRA MARTINEZ</t>
  </si>
  <si>
    <t>1023928378</t>
  </si>
  <si>
    <t>DIEGO FERNANDO VELANDIA PEREZ</t>
  </si>
  <si>
    <t>1019018733</t>
  </si>
  <si>
    <t>YENIFER GORDON DIAZ</t>
  </si>
  <si>
    <t>1052963640</t>
  </si>
  <si>
    <t>KEVIN JOSE MORENO RODRIGUEZ</t>
  </si>
  <si>
    <t>1012414069</t>
  </si>
  <si>
    <t>JEREMY BOLIVAR DIAZ</t>
  </si>
  <si>
    <t>8865244</t>
  </si>
  <si>
    <t>JESUS DANIEL LUGO PEREZ</t>
  </si>
  <si>
    <t>1065627424</t>
  </si>
  <si>
    <t>MIGUEL ANGEL BERMUDEZ PRADA</t>
  </si>
  <si>
    <t>1031806185</t>
  </si>
  <si>
    <t>JAVIER ALEXANDER DIAZ MONTILLA</t>
  </si>
  <si>
    <t>6472089</t>
  </si>
  <si>
    <t>JOSE OLIVER VARGAS CAMACHO</t>
  </si>
  <si>
    <t>1117492302</t>
  </si>
  <si>
    <t>VICTOR EDUARDO JIMENEZ MELECIO</t>
  </si>
  <si>
    <t>1018442964</t>
  </si>
  <si>
    <t>LIZBET NATALY MURCIA SANCHEZ</t>
  </si>
  <si>
    <t>1012337456</t>
  </si>
  <si>
    <t>JHON ALEXANDER RAMIREZ AMADOR</t>
  </si>
  <si>
    <t>1024489562</t>
  </si>
  <si>
    <t>ERIKA MARIA RICO MERLANO</t>
  </si>
  <si>
    <t>64578281</t>
  </si>
  <si>
    <t>YUSMARY ROSA PERAZA AGUILAR</t>
  </si>
  <si>
    <t>5828801</t>
  </si>
  <si>
    <t>ROMELD RICARDO BARICO AVILA</t>
  </si>
  <si>
    <t>3220710</t>
  </si>
  <si>
    <t>ERIKA PATRICIA MARTINEZ CAUSIL</t>
  </si>
  <si>
    <t>1002392387</t>
  </si>
  <si>
    <t>GREIS DANIELA MARIN ROBLES</t>
  </si>
  <si>
    <t>1004368488</t>
  </si>
  <si>
    <t>FREDY HERNAN TOCHE VARGAS</t>
  </si>
  <si>
    <t>1074130614</t>
  </si>
  <si>
    <t>DHAVEY SANTIAGO VIATELA CASTRO</t>
  </si>
  <si>
    <t>1193547331</t>
  </si>
  <si>
    <t>HOLLMAN DAVID MELO MORA</t>
  </si>
  <si>
    <t>1000944472</t>
  </si>
  <si>
    <t>MARYBEL GIRALDO BRIÑEZ</t>
  </si>
  <si>
    <t>1019114815</t>
  </si>
  <si>
    <t>YORLEDIS SUAREZ NISPERUZA</t>
  </si>
  <si>
    <t>1014241497</t>
  </si>
  <si>
    <t>NAIBE EMPERATRIZ YEGUEZ ECHEZURIA</t>
  </si>
  <si>
    <t>7552517</t>
  </si>
  <si>
    <t>MARIANA MONTES CEBALLLOS</t>
  </si>
  <si>
    <t>1041440333</t>
  </si>
  <si>
    <t>LAURA ROCIO ZAMORA PINZÓN</t>
  </si>
  <si>
    <t>1019077887</t>
  </si>
  <si>
    <t>CHRISTIAN SMITH ACOSTA GUTIERREZ</t>
  </si>
  <si>
    <t>1143235309</t>
  </si>
  <si>
    <t>GRECIA PITA ROJAS</t>
  </si>
  <si>
    <t>2947292</t>
  </si>
  <si>
    <t>BRAYAN FELIPE COY POVEDA</t>
  </si>
  <si>
    <t>1053326828</t>
  </si>
  <si>
    <t>ANDRES FELIPE MARTINEZ NOSSA</t>
  </si>
  <si>
    <t>1001115014</t>
  </si>
  <si>
    <t>JORGE LUIS VISBAL VASQUEZ</t>
  </si>
  <si>
    <t>73435606</t>
  </si>
  <si>
    <t>ELIANA ALEJANDRA GONZALEZ PEREZ</t>
  </si>
  <si>
    <t>1014259402</t>
  </si>
  <si>
    <t>RONALD ALBERTO CAMPO AGUILAR</t>
  </si>
  <si>
    <t>1002303821</t>
  </si>
  <si>
    <t>LORENA CORTES CULMA</t>
  </si>
  <si>
    <t>1007288345</t>
  </si>
  <si>
    <t>ADRICE INES FIGUERA MEJIAS</t>
  </si>
  <si>
    <t>5383246</t>
  </si>
  <si>
    <t>LAURA XIMENA BURGOS FUENTES</t>
  </si>
  <si>
    <t>1054226084</t>
  </si>
  <si>
    <t>JUAN SEBASTIAN LARA RODRIGUEZ</t>
  </si>
  <si>
    <t>1000470480</t>
  </si>
  <si>
    <t>JORGE DANIEL FRANCO QUESADA</t>
  </si>
  <si>
    <t>1106890899</t>
  </si>
  <si>
    <t>MARTHA CECILIA HERRERA MENDOZA</t>
  </si>
  <si>
    <t>1019118387</t>
  </si>
  <si>
    <t>GISELA MENDOZA LICONA</t>
  </si>
  <si>
    <t>1003656301</t>
  </si>
  <si>
    <t>WILLIAM ARLEY CHITIVA  FONSECA</t>
  </si>
  <si>
    <t>1010210552</t>
  </si>
  <si>
    <t>ERIKA ALDANA PICO</t>
  </si>
  <si>
    <t>1000801875</t>
  </si>
  <si>
    <t>1000180798</t>
  </si>
  <si>
    <t>RAFAEL ANTONIO VILLADIEGO DE LA CRUZ</t>
  </si>
  <si>
    <t>8796744</t>
  </si>
  <si>
    <t>ESTEBAN EDUARDO PARRA TIQUE</t>
  </si>
  <si>
    <t>1000719280</t>
  </si>
  <si>
    <t>Lael Andres  Mendez Mahecha</t>
  </si>
  <si>
    <t>71257569</t>
  </si>
  <si>
    <t>MIGUEL ANTONIO BUITRAGO ALVAREZ</t>
  </si>
  <si>
    <t>79523179</t>
  </si>
  <si>
    <t>DEIVY AULAR QUIVA</t>
  </si>
  <si>
    <t>5154768</t>
  </si>
  <si>
    <t>WILSON PATRICIO BERGAÑO GUTIERREZ</t>
  </si>
  <si>
    <t>80179187</t>
  </si>
  <si>
    <t>LEYDI JULIETH ROMERO RODRIGUEZ</t>
  </si>
  <si>
    <t>1111196583</t>
  </si>
  <si>
    <t>JACKELINE MEDINA MARTIN</t>
  </si>
  <si>
    <t>1030631143</t>
  </si>
  <si>
    <t>JOHN JAIRO RODRIGUEZ HERNANDEZ</t>
  </si>
  <si>
    <t>79528359</t>
  </si>
  <si>
    <t>NESYELY MERCEDES GUTIERREZ CUAURO</t>
  </si>
  <si>
    <t>6404611</t>
  </si>
  <si>
    <t>AZAEL ADRIEL PEROZO GONZALEZ</t>
  </si>
  <si>
    <t>6593420</t>
  </si>
  <si>
    <t>HUVER ANDRES TRUJILLO</t>
  </si>
  <si>
    <t>1033677495</t>
  </si>
  <si>
    <t>JOSEPH ALFONSO SANCHEZ CAÑAS</t>
  </si>
  <si>
    <t>4648434</t>
  </si>
  <si>
    <t>SANDRA LUCIA ROJAS ROJAS</t>
  </si>
  <si>
    <t>1050693310</t>
  </si>
  <si>
    <t>JAIME BLADIMIR PAUCAR TUERO</t>
  </si>
  <si>
    <t>317591</t>
  </si>
  <si>
    <t>NELSON FABIAN NUÑEZ FONSECA</t>
  </si>
  <si>
    <t>1010179419</t>
  </si>
  <si>
    <t>BRAJHAN JOHAN BETANCOURT BARRIO</t>
  </si>
  <si>
    <t>6467161</t>
  </si>
  <si>
    <t>DANIEL EDUARDO TACHA GUASCA</t>
  </si>
  <si>
    <t>1014190268</t>
  </si>
  <si>
    <t>CRISTIAN AUGUSTO RODRIGUEZ SANDOVAL</t>
  </si>
  <si>
    <t>1013595444</t>
  </si>
  <si>
    <t>CRISTIAN CAMILO RUBIANO ZAPATA</t>
  </si>
  <si>
    <t>1000331392</t>
  </si>
  <si>
    <t>JUANA ALEJANDRA FUQUEN CHACON</t>
  </si>
  <si>
    <t>1019988293</t>
  </si>
  <si>
    <t>OSCAR FERNANDO RODRIGUEZ AVENDAÑO</t>
  </si>
  <si>
    <t>1022925854</t>
  </si>
  <si>
    <t>EDWIN ABELARDO CASTILLO MARTINEZ</t>
  </si>
  <si>
    <t>80174754</t>
  </si>
  <si>
    <t>MARÍA PAULA MONASTOQUE CASTILLO</t>
  </si>
  <si>
    <t>1072717904</t>
  </si>
  <si>
    <t>GUILLERMO MARTINEZ MARIN</t>
  </si>
  <si>
    <t>4377459</t>
  </si>
  <si>
    <t>ANGEL DAVID CORDOBA MOLINA</t>
  </si>
  <si>
    <t>1065833849</t>
  </si>
  <si>
    <t>GERMAN ENRIQUE SANEZ MEZA</t>
  </si>
  <si>
    <t>1067726411</t>
  </si>
  <si>
    <t>JORGE GOYO LUCENA</t>
  </si>
  <si>
    <t>5176823</t>
  </si>
  <si>
    <t>JOSE VICENTE PEREZ</t>
  </si>
  <si>
    <t>79564809</t>
  </si>
  <si>
    <t>YORLIS DANIEL GARCIA MILLAN</t>
  </si>
  <si>
    <t>1020807540</t>
  </si>
  <si>
    <t>ARIS ENRIQUE ARGEL NEGRETE</t>
  </si>
  <si>
    <t>10904189</t>
  </si>
  <si>
    <t>JUAN ESTEBAN CORREA DIEZ</t>
  </si>
  <si>
    <t>1001131334</t>
  </si>
  <si>
    <t>JHONNATAN JAVIER JIMENEZ SANCHEZ</t>
  </si>
  <si>
    <t>1000811038</t>
  </si>
  <si>
    <t>MAICOL DANIEL QUINTERO FLOREZ</t>
  </si>
  <si>
    <t>1095484349</t>
  </si>
  <si>
    <t>WUILFREDO RIERA CONTRERAS</t>
  </si>
  <si>
    <t>1719433</t>
  </si>
  <si>
    <t>JAZMIN DARLEY CASTILLO PIRATEQUE</t>
  </si>
  <si>
    <t>1023946837</t>
  </si>
  <si>
    <t>ALVARO LARRARTE RAMOS</t>
  </si>
  <si>
    <t>1022337666</t>
  </si>
  <si>
    <t>ADRIANA CRISTINA SOTO RAMÍREZ</t>
  </si>
  <si>
    <t>1007594981</t>
  </si>
  <si>
    <t>DIEGO ARMANDO GONZALEZ VILORIA</t>
  </si>
  <si>
    <t>1235240465</t>
  </si>
  <si>
    <t>NAYENY QUIROGA GUIZA</t>
  </si>
  <si>
    <t>1005303742</t>
  </si>
  <si>
    <t>CLAUDIA NATALIE SANABRIA ULLOA</t>
  </si>
  <si>
    <t>1010005832</t>
  </si>
  <si>
    <t>JESSICA LILIANA PINZON MUÑOZ</t>
  </si>
  <si>
    <t>1233905261</t>
  </si>
  <si>
    <t>LINEY PAOLA ROJAS MARTINEZ</t>
  </si>
  <si>
    <t>1082876125</t>
  </si>
  <si>
    <t>MARISOL GUZMAN YATE</t>
  </si>
  <si>
    <t>53107816</t>
  </si>
  <si>
    <t>JEYSON FERNANDO LOZANO GONZALEZ</t>
  </si>
  <si>
    <t>79733994</t>
  </si>
  <si>
    <t>DIANA MARCELA SAAVEDRA TOLOZA</t>
  </si>
  <si>
    <t>1096618596</t>
  </si>
  <si>
    <t>EZEQUIEL MORA MORENO</t>
  </si>
  <si>
    <t>4635815</t>
  </si>
  <si>
    <t>MIGUEL ANTONIO VELASQUEZ OCHOA</t>
  </si>
  <si>
    <t>5219920</t>
  </si>
  <si>
    <t>MARCOS DE JESUS GUERRERO CARRILLO</t>
  </si>
  <si>
    <t>1047362267</t>
  </si>
  <si>
    <t>YAIR ALBERTO MARTINEZ BLANDON</t>
  </si>
  <si>
    <t>4794424</t>
  </si>
  <si>
    <t>CHRISTIAN TORRES MENDOZA</t>
  </si>
  <si>
    <t>3040193</t>
  </si>
  <si>
    <t>JULIAN ARTURO CARMONA ARRICHE</t>
  </si>
  <si>
    <t>1094289868</t>
  </si>
  <si>
    <t>JORDY ESTIVER MURILLO MURILLO</t>
  </si>
  <si>
    <t>1020789001</t>
  </si>
  <si>
    <t>ROXANA PASTORA CORTEZ AMARO</t>
  </si>
  <si>
    <t>5382213</t>
  </si>
  <si>
    <t>Carlos Jose  Rojas Gomez</t>
  </si>
  <si>
    <t>1126905373</t>
  </si>
  <si>
    <t>CARLOS AUGUSTO ROMERO RODRIGUEZ</t>
  </si>
  <si>
    <t>1023082389</t>
  </si>
  <si>
    <t>ANGIE LORENA GORDILLO LEON</t>
  </si>
  <si>
    <t>1003619596</t>
  </si>
  <si>
    <t>DIANA CAROLINA BONILLA  RODRIGUEZ</t>
  </si>
  <si>
    <t>1070920153</t>
  </si>
  <si>
    <t>SUPERNUMERARIOS</t>
  </si>
  <si>
    <t>16/08/2024</t>
  </si>
  <si>
    <t>05/09/2024</t>
  </si>
  <si>
    <t>04/01/2024</t>
  </si>
  <si>
    <t>28/06/2025</t>
  </si>
  <si>
    <t>25/07/2025</t>
  </si>
  <si>
    <t>24/11/2025</t>
  </si>
  <si>
    <t>25/11/2025</t>
  </si>
  <si>
    <t>11/05/2024</t>
  </si>
  <si>
    <t>15/12/2025</t>
  </si>
  <si>
    <t>12/09/2023</t>
  </si>
  <si>
    <t>20/03/2026</t>
  </si>
  <si>
    <t>02/12/2024</t>
  </si>
  <si>
    <t>10/02/2026</t>
  </si>
  <si>
    <t>19/05/2026</t>
  </si>
  <si>
    <t>02/06/2026</t>
  </si>
  <si>
    <t>16/06/2026</t>
  </si>
  <si>
    <t>23/06/2026</t>
  </si>
  <si>
    <t>30/06/2026</t>
  </si>
  <si>
    <t>07/07/2026</t>
  </si>
  <si>
    <t>14/07/2026</t>
  </si>
  <si>
    <t>29/11/2023</t>
  </si>
  <si>
    <t>23/01/2026</t>
  </si>
  <si>
    <t>09/04/2026</t>
  </si>
  <si>
    <t>21/07/2026</t>
  </si>
  <si>
    <t>27/02/1989</t>
  </si>
  <si>
    <t>09/03/2026</t>
  </si>
  <si>
    <t>28/07/2026</t>
  </si>
  <si>
    <t>04/08/2026</t>
  </si>
  <si>
    <t>28/04/2026</t>
  </si>
  <si>
    <t>10/08/2026</t>
  </si>
  <si>
    <t>18/08/2026</t>
  </si>
  <si>
    <t>22/03/2026</t>
  </si>
  <si>
    <t>01/06/2026</t>
  </si>
  <si>
    <t>08/08/2026</t>
  </si>
  <si>
    <t>17/08/2026</t>
  </si>
  <si>
    <t>21/02/2024</t>
  </si>
  <si>
    <t>21/03/2024</t>
  </si>
  <si>
    <t>23/03/2024</t>
  </si>
  <si>
    <t>20/09/2024</t>
  </si>
  <si>
    <t>17/03/2025</t>
  </si>
  <si>
    <t>12/09/2025</t>
  </si>
  <si>
    <t>16/04/2025</t>
  </si>
  <si>
    <t>15/05/2025</t>
  </si>
  <si>
    <t>19/06/2025</t>
  </si>
  <si>
    <t>15/04/2026</t>
  </si>
  <si>
    <t>22/10/2025</t>
  </si>
  <si>
    <t>26/05/2026</t>
  </si>
  <si>
    <t>10/11/2025</t>
  </si>
  <si>
    <t>28/11/2024</t>
  </si>
  <si>
    <t>28/09/2023</t>
  </si>
  <si>
    <t>27/12/2023</t>
  </si>
  <si>
    <t>27/01/2025</t>
  </si>
  <si>
    <t>16/03/2024</t>
  </si>
  <si>
    <t>13/03/2025</t>
  </si>
  <si>
    <t>16/06/2025</t>
  </si>
  <si>
    <t>07/02/2024</t>
  </si>
  <si>
    <t>20/11/2023</t>
  </si>
  <si>
    <t>03/02/2025</t>
  </si>
  <si>
    <t>25/06/2026</t>
  </si>
  <si>
    <t>02/08/2026</t>
  </si>
  <si>
    <t>10/09/2024</t>
  </si>
  <si>
    <t>01/12/2025</t>
  </si>
  <si>
    <t>15/06/2024</t>
  </si>
  <si>
    <t>20/03/2024</t>
  </si>
  <si>
    <t>04/08/2025</t>
  </si>
  <si>
    <t>23/02/2026</t>
  </si>
  <si>
    <t>01/04/2026</t>
  </si>
  <si>
    <t>06/05/2026</t>
  </si>
  <si>
    <t>02/04/2025</t>
  </si>
  <si>
    <t>04/05/2026</t>
  </si>
  <si>
    <t>30/12/2025</t>
  </si>
  <si>
    <t>27/02/2025</t>
  </si>
  <si>
    <t>23/02/2024</t>
  </si>
  <si>
    <t>14/11/2023</t>
  </si>
  <si>
    <t>27/06/2025</t>
  </si>
  <si>
    <t>06/03/2025</t>
  </si>
  <si>
    <t>10/07/2026</t>
  </si>
  <si>
    <t>28/12/2023</t>
  </si>
  <si>
    <t>02/06/2025</t>
  </si>
  <si>
    <t>02/09/2025</t>
  </si>
  <si>
    <t>09/10/2025</t>
  </si>
  <si>
    <t>09/04/2025</t>
  </si>
  <si>
    <t>20/06/2024</t>
  </si>
  <si>
    <t>06/11/2024</t>
  </si>
  <si>
    <t>25/08/2025</t>
  </si>
  <si>
    <t>10/08/2024</t>
  </si>
  <si>
    <t>20/07/2026</t>
  </si>
  <si>
    <t xml:space="preserve">sucursal </t>
  </si>
  <si>
    <t xml:space="preserve">fecha d einghreso </t>
  </si>
  <si>
    <t>cedula</t>
  </si>
  <si>
    <t>nombre</t>
  </si>
  <si>
    <t>Auxiliar de Cocina</t>
  </si>
  <si>
    <t>Barman</t>
  </si>
  <si>
    <t>Asesor(a) de Servicio</t>
  </si>
  <si>
    <t>Líder de Cocina</t>
  </si>
  <si>
    <t>Administrador(a) Junior</t>
  </si>
  <si>
    <t>AUXILIAR DE BARRA</t>
  </si>
  <si>
    <t>Hostess</t>
  </si>
  <si>
    <t>Cajer@ Junior</t>
  </si>
  <si>
    <t>ASESOR@ CAFE DE ENCUENTRO</t>
  </si>
  <si>
    <t>Practicante de Gastronomía</t>
  </si>
  <si>
    <t>Practicante en Mesa y Bar</t>
  </si>
  <si>
    <t>AUXILIAR DE COCINA Y BODEGA</t>
  </si>
  <si>
    <t>Líder Senior</t>
  </si>
  <si>
    <t>ANALISTA DE INVENTARIO</t>
  </si>
  <si>
    <t xml:space="preserve">parrilla </t>
  </si>
  <si>
    <t xml:space="preserve"> Alistamiento de apertura</t>
  </si>
  <si>
    <t>Lunes- domingo</t>
  </si>
  <si>
    <t>2 por area</t>
  </si>
  <si>
    <t>Alistamiento nocturno por área</t>
  </si>
  <si>
    <t>3 por area</t>
  </si>
  <si>
    <t>Alistamiento y limpieza nocturna del área entre la finalización de la operación y el cierre.</t>
  </si>
  <si>
    <t>Lunes- jueves</t>
  </si>
  <si>
    <t>Descanso</t>
  </si>
  <si>
    <t>Karem Yiveth Ramirez Hernandez</t>
  </si>
  <si>
    <t>Cristian Leonardo Lugo Parra</t>
  </si>
  <si>
    <t>Daniela Urrego Chaves</t>
  </si>
  <si>
    <t>Yersonmanuel26911@gmail.com</t>
  </si>
  <si>
    <t>luiscantillopolo@gmail.com</t>
  </si>
  <si>
    <t>3206087478</t>
  </si>
  <si>
    <t>3042627566</t>
  </si>
  <si>
    <t>3186540482</t>
  </si>
  <si>
    <t>3133443149</t>
  </si>
  <si>
    <t>3337226307</t>
  </si>
  <si>
    <t>3212792136</t>
  </si>
  <si>
    <t>3104087669</t>
  </si>
  <si>
    <t>3204626050</t>
  </si>
  <si>
    <t>3102425819</t>
  </si>
  <si>
    <t>3171542153</t>
  </si>
  <si>
    <t>3112159295</t>
  </si>
  <si>
    <t>3014500974</t>
  </si>
  <si>
    <t>3004973582</t>
  </si>
  <si>
    <t>3023203928</t>
  </si>
  <si>
    <t>3197719096</t>
  </si>
  <si>
    <t>3115104113</t>
  </si>
  <si>
    <t>3176303568</t>
  </si>
  <si>
    <t>3118696364</t>
  </si>
  <si>
    <t>3187837950</t>
  </si>
  <si>
    <t>3194726460</t>
  </si>
  <si>
    <t>3104101242</t>
  </si>
  <si>
    <t>3202113803</t>
  </si>
  <si>
    <t>3222826503</t>
  </si>
  <si>
    <t>3112048456</t>
  </si>
  <si>
    <t>3043258503</t>
  </si>
  <si>
    <t>3132235463</t>
  </si>
  <si>
    <t>3156610755</t>
  </si>
  <si>
    <t>3229217914</t>
  </si>
  <si>
    <t>3172810420</t>
  </si>
  <si>
    <t>3028302822</t>
  </si>
  <si>
    <t>3222303080</t>
  </si>
  <si>
    <t>3228603124</t>
  </si>
  <si>
    <t>3239329575</t>
  </si>
  <si>
    <t>3024629564</t>
  </si>
  <si>
    <t>3027641966</t>
  </si>
  <si>
    <t>3166569031</t>
  </si>
  <si>
    <t>3115099023</t>
  </si>
  <si>
    <t>3228252135</t>
  </si>
  <si>
    <t>3118045488</t>
  </si>
  <si>
    <t>3024577050</t>
  </si>
  <si>
    <t>lariosm@ismm.edu.co</t>
  </si>
  <si>
    <t>eliana.es41@gmail.com</t>
  </si>
  <si>
    <t>amminahomy@gmail.com</t>
  </si>
  <si>
    <t>emilyyv.8a@gmail.com</t>
  </si>
  <si>
    <t>edd__09@hotmail.com</t>
  </si>
  <si>
    <t>jurdanetaperozo@gmail.com</t>
  </si>
  <si>
    <t>mayrojas2000@gmail.com</t>
  </si>
  <si>
    <t>dcadenacadena@gmail.com</t>
  </si>
  <si>
    <t>yosefencisorojas@gmail.com</t>
  </si>
  <si>
    <t>danielraranda21@gmail.com</t>
  </si>
  <si>
    <t>jhonalexander.ramirezamador@hotmail.com</t>
  </si>
  <si>
    <t>xiomaraquirogaquiriga@gmail.com</t>
  </si>
  <si>
    <t>yeico2599@gmail.com</t>
  </si>
  <si>
    <t>danielvargasvargas18@gmail.com</t>
  </si>
  <si>
    <t>Feliperleon96@gmail.com</t>
  </si>
  <si>
    <t>victorjimenez2318@gmail.com</t>
  </si>
  <si>
    <t>camaleonn23@hotmail.com</t>
  </si>
  <si>
    <t>luisafhurtadop1206@gmail.com</t>
  </si>
  <si>
    <t>gustavoandresgonzalez2001@gmail.com</t>
  </si>
  <si>
    <t>oscargerardocaicedo@outlook.com</t>
  </si>
  <si>
    <t>arosca1104@gmail.com</t>
  </si>
  <si>
    <t>yisneth0@gmail.com</t>
  </si>
  <si>
    <t>greysmarin29@gmail.com</t>
  </si>
  <si>
    <t>adrimoragarcia349@gmail.com</t>
  </si>
  <si>
    <t>Hollmandavid9@gmail.com</t>
  </si>
  <si>
    <t>Sofimahete18@gmail.com</t>
  </si>
  <si>
    <t>jsaravale1236@gmail.com</t>
  </si>
  <si>
    <t>damianmarly4@gmail.com</t>
  </si>
  <si>
    <t>jerman0812@hotmail.com</t>
  </si>
  <si>
    <t>erikaricomerlano@gmail.com</t>
  </si>
  <si>
    <t>yuranisrobles824@gmail.com</t>
  </si>
  <si>
    <t>guzman.marisol@hotmail.com</t>
  </si>
  <si>
    <t>morillomatteo089@gmail.com</t>
  </si>
  <si>
    <t>betancourtbrajhan1@gmail.com</t>
  </si>
  <si>
    <t>Yusmary15215176@gmail.com</t>
  </si>
  <si>
    <t>Lopezfrancelis77@gmail.com</t>
  </si>
  <si>
    <t>Yosmariacosta14@gmail.com</t>
  </si>
  <si>
    <t>gabrielcollins2019@gmail.com</t>
  </si>
  <si>
    <t>jhoselin2068@gmail.com</t>
  </si>
  <si>
    <t>jaimetuero976@gmail.com</t>
  </si>
  <si>
    <t>emilyrodriguez1204@hotmail.com</t>
  </si>
  <si>
    <t>3042136809</t>
  </si>
  <si>
    <t>3024704271</t>
  </si>
  <si>
    <t>3183938079</t>
  </si>
  <si>
    <t>3023412032</t>
  </si>
  <si>
    <t>3112167818</t>
  </si>
  <si>
    <t>3214040379</t>
  </si>
  <si>
    <t>3196790227</t>
  </si>
  <si>
    <t>3125762690</t>
  </si>
  <si>
    <t>3043514191</t>
  </si>
  <si>
    <t>3204405310</t>
  </si>
  <si>
    <t>3196850822</t>
  </si>
  <si>
    <t>3013211520</t>
  </si>
  <si>
    <t>3142638471</t>
  </si>
  <si>
    <t>3214902825</t>
  </si>
  <si>
    <t>3022281854</t>
  </si>
  <si>
    <t>3183545432</t>
  </si>
  <si>
    <t>3223081304</t>
  </si>
  <si>
    <t>3008893741</t>
  </si>
  <si>
    <t>3245444002</t>
  </si>
  <si>
    <t>3176407613</t>
  </si>
  <si>
    <t>3124615706</t>
  </si>
  <si>
    <t>3162338204</t>
  </si>
  <si>
    <t>3502636095</t>
  </si>
  <si>
    <t>lilijohanna_1994@hotmail.es</t>
  </si>
  <si>
    <t>eyuli4552@gmail.com</t>
  </si>
  <si>
    <t>shirley1978orozco@gmail.com</t>
  </si>
  <si>
    <t>perezjosev@hotmail.com</t>
  </si>
  <si>
    <t>hatejey@hotmail.com</t>
  </si>
  <si>
    <t>edwin.castillo.m@hotmail.com</t>
  </si>
  <si>
    <t>angiele1103@gmail.com</t>
  </si>
  <si>
    <t>Nayenyquiroga2025@gmail.com</t>
  </si>
  <si>
    <t>Adrianasotoramirez26@gmail.com</t>
  </si>
  <si>
    <t>jemm1994@hotmail.com</t>
  </si>
  <si>
    <t>elllaveritoo88@gmail.com</t>
  </si>
  <si>
    <t>larrartealvaro@gmail.com</t>
  </si>
  <si>
    <t>cr174041@gmail.com</t>
  </si>
  <si>
    <t>jdcp1823@gmail.com</t>
  </si>
  <si>
    <t>germanenrriq9900@gmail.com</t>
  </si>
  <si>
    <t>karobonilla25@gmail.com</t>
  </si>
  <si>
    <t>paula98mona@gmail.com</t>
  </si>
  <si>
    <t>rojasliney878@gmail.com</t>
  </si>
  <si>
    <t>julian56a@gmail.com</t>
  </si>
  <si>
    <t>dianasaavedra07@hotmail.com</t>
  </si>
  <si>
    <t>plcestudioc@gmail.com</t>
  </si>
  <si>
    <t>jessicapinzon02@gmail.com</t>
  </si>
  <si>
    <t>diegoviloria17@gmail.com</t>
  </si>
  <si>
    <t>Cant Max Facturas</t>
  </si>
  <si>
    <t>Cant Min Facturas</t>
  </si>
  <si>
    <t>Total</t>
  </si>
  <si>
    <t>Cantidad</t>
  </si>
  <si>
    <t xml:space="preserve">Hora inicio </t>
  </si>
  <si>
    <t>Hora Fin</t>
  </si>
  <si>
    <t>administrador</t>
  </si>
  <si>
    <t>bodega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</si>
</sst>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ptos"/>
      <family val="2"/>
    </font>
    <font>
      <sz val="10"/>
      <color rgb="FF000000"/>
      <name val="Aptos"/>
      <family val="2"/>
    </font>
    <font>
      <sz val="10"/>
      <name val="Arial"/>
      <family val="2"/>
    </font>
    <font>
      <sz val="10"/>
      <color rgb="FF008000"/>
      <name val="Aptos"/>
      <family val="2"/>
    </font>
    <font>
      <sz val="10"/>
      <color theme="1"/>
      <name val="Aptos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F4E7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1" fontId="2" fillId="3" borderId="0" xfId="0" applyNumberFormat="1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49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1" fontId="5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20" fontId="2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0" fontId="6" fillId="0" borderId="0" xfId="1" applyAlignment="1">
      <alignment horizontal="left" vertical="top" wrapText="1"/>
    </xf>
    <xf numFmtId="0" fontId="0" fillId="10" borderId="0" xfId="0" applyFill="1"/>
    <xf numFmtId="0" fontId="0" fillId="6" borderId="0" xfId="0" applyFill="1"/>
    <xf numFmtId="0" fontId="0" fillId="7" borderId="0" xfId="0" applyFill="1"/>
    <xf numFmtId="0" fontId="0" fillId="5" borderId="0" xfId="0" applyFill="1"/>
    <xf numFmtId="0" fontId="0" fillId="8" borderId="0" xfId="0" applyFill="1"/>
    <xf numFmtId="0" fontId="0" fillId="9" borderId="0" xfId="0" applyFill="1"/>
    <xf numFmtId="0" fontId="0" fillId="11" borderId="0" xfId="0" applyFill="1"/>
    <xf numFmtId="0" fontId="7" fillId="0" borderId="0" xfId="2"/>
    <xf numFmtId="0" fontId="9" fillId="0" borderId="0" xfId="0" applyFont="1"/>
    <xf numFmtId="1" fontId="0" fillId="0" borderId="0" xfId="0" applyNumberFormat="1"/>
    <xf numFmtId="0" fontId="9" fillId="0" borderId="1" xfId="0" applyFont="1" applyBorder="1"/>
    <xf numFmtId="0" fontId="10" fillId="10" borderId="1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left" vertical="top"/>
    </xf>
    <xf numFmtId="0" fontId="10" fillId="7" borderId="1" xfId="0" applyFont="1" applyFill="1" applyBorder="1" applyAlignment="1">
      <alignment horizontal="left" vertical="top"/>
    </xf>
    <xf numFmtId="0" fontId="10" fillId="6" borderId="1" xfId="0" applyFont="1" applyFill="1" applyBorder="1" applyAlignment="1">
      <alignment horizontal="left" vertical="top"/>
    </xf>
    <xf numFmtId="0" fontId="10" fillId="8" borderId="1" xfId="0" applyFont="1" applyFill="1" applyBorder="1" applyAlignment="1">
      <alignment horizontal="left" vertical="top"/>
    </xf>
    <xf numFmtId="0" fontId="10" fillId="9" borderId="1" xfId="0" applyFont="1" applyFill="1" applyBorder="1" applyAlignment="1">
      <alignment horizontal="left" vertical="top"/>
    </xf>
    <xf numFmtId="0" fontId="10" fillId="11" borderId="1" xfId="0" applyFont="1" applyFill="1" applyBorder="1" applyAlignment="1">
      <alignment horizontal="left" vertical="top"/>
    </xf>
    <xf numFmtId="0" fontId="0" fillId="0" borderId="1" xfId="0" applyBorder="1"/>
    <xf numFmtId="0" fontId="0" fillId="10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1" borderId="1" xfId="0" applyFill="1" applyBorder="1"/>
    <xf numFmtId="1" fontId="0" fillId="0" borderId="1" xfId="0" applyNumberFormat="1" applyBorder="1"/>
    <xf numFmtId="18" fontId="0" fillId="0" borderId="0" xfId="0" applyNumberFormat="1"/>
  </cellXfs>
  <cellStyles count="3">
    <cellStyle name="Hyperlink" xfId="1" builtinId="8"/>
    <cellStyle name="Normal" xfId="0" builtinId="0"/>
    <cellStyle name="Normal 2" xfId="2" xr:uid="{0DF19F7A-7C8E-42E9-88C5-B9453D5BCDC3}"/>
  </cellStyles>
  <dxfs count="5"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C33AB2-E09C-4147-8AD9-834D49ECFE6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77840fe-093e-429b-a3f0-51b7d08b272f&quot;"/>
  </we:properties>
  <we:bindings/>
  <we:snapshot xmlns:r="http://schemas.openxmlformats.org/officeDocument/2006/relationships"/>
</we:webextension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ajer@%20Junior" TargetMode="External"/><Relationship Id="rId1" Type="http://schemas.openxmlformats.org/officeDocument/2006/relationships/hyperlink" Target="mailto:Yersonmanuel269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topLeftCell="B1" zoomScale="175" zoomScaleNormal="175" workbookViewId="0">
      <pane ySplit="1" topLeftCell="A2" activePane="bottomLeft" state="frozen"/>
      <selection pane="bottomLeft" activeCell="B7" sqref="B7"/>
    </sheetView>
  </sheetViews>
  <sheetFormatPr defaultColWidth="9.1328125" defaultRowHeight="14.25" x14ac:dyDescent="0.45"/>
  <cols>
    <col min="1" max="1" width="19" customWidth="1"/>
    <col min="2" max="2" width="27" customWidth="1"/>
    <col min="3" max="3" width="28" customWidth="1"/>
    <col min="4" max="4" width="37" customWidth="1"/>
    <col min="5" max="5" width="13" customWidth="1"/>
    <col min="6" max="6" width="14" customWidth="1"/>
    <col min="7" max="7" width="13" customWidth="1"/>
    <col min="8" max="8" width="15" customWidth="1"/>
  </cols>
  <sheetData>
    <row r="1" spans="1:8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 x14ac:dyDescent="0.45">
      <c r="A2" s="3">
        <v>117</v>
      </c>
      <c r="B2" s="2" t="s">
        <v>8</v>
      </c>
      <c r="C2" s="4" t="s">
        <v>9</v>
      </c>
      <c r="D2" s="4" t="s">
        <v>10</v>
      </c>
      <c r="E2" s="2" t="s">
        <v>11</v>
      </c>
      <c r="F2" s="2" t="s">
        <v>12</v>
      </c>
      <c r="G2" s="2" t="s">
        <v>12</v>
      </c>
      <c r="H2" s="2" t="s">
        <v>13</v>
      </c>
    </row>
    <row r="3" spans="1:8" ht="20.100000000000001" customHeight="1" x14ac:dyDescent="0.45">
      <c r="A3" s="3">
        <v>119</v>
      </c>
      <c r="B3" s="2" t="s">
        <v>14</v>
      </c>
      <c r="C3" s="4" t="s">
        <v>15</v>
      </c>
      <c r="D3" s="4" t="s">
        <v>16</v>
      </c>
      <c r="E3" s="2" t="s">
        <v>17</v>
      </c>
      <c r="F3" s="2" t="s">
        <v>12</v>
      </c>
      <c r="G3" s="2" t="s">
        <v>12</v>
      </c>
      <c r="H3" s="2" t="s">
        <v>13</v>
      </c>
    </row>
    <row r="4" spans="1:8" ht="20.100000000000001" customHeight="1" x14ac:dyDescent="0.45">
      <c r="A4" s="3">
        <v>121</v>
      </c>
      <c r="B4" s="2" t="s">
        <v>18</v>
      </c>
      <c r="C4" s="4" t="s">
        <v>19</v>
      </c>
      <c r="D4" s="4" t="s">
        <v>20</v>
      </c>
      <c r="E4" s="2" t="s">
        <v>21</v>
      </c>
      <c r="F4" s="2" t="s">
        <v>12</v>
      </c>
      <c r="G4" s="2" t="s">
        <v>12</v>
      </c>
      <c r="H4" s="2" t="s">
        <v>13</v>
      </c>
    </row>
    <row r="5" spans="1:8" ht="20.100000000000001" customHeight="1" x14ac:dyDescent="0.45">
      <c r="A5" s="3">
        <v>116</v>
      </c>
      <c r="B5" s="2" t="s">
        <v>22</v>
      </c>
      <c r="C5" s="4" t="s">
        <v>23</v>
      </c>
      <c r="D5" s="4" t="s">
        <v>24</v>
      </c>
      <c r="E5" s="2" t="s">
        <v>25</v>
      </c>
      <c r="F5" s="2" t="s">
        <v>12</v>
      </c>
      <c r="G5" s="2" t="s">
        <v>12</v>
      </c>
      <c r="H5" s="2" t="s">
        <v>13</v>
      </c>
    </row>
    <row r="6" spans="1:8" ht="20.100000000000001" customHeight="1" x14ac:dyDescent="0.45">
      <c r="A6" s="3">
        <v>122</v>
      </c>
      <c r="B6" s="2" t="s">
        <v>26</v>
      </c>
      <c r="C6" s="4" t="s">
        <v>27</v>
      </c>
      <c r="D6" s="4" t="s">
        <v>28</v>
      </c>
      <c r="E6" s="2" t="s">
        <v>29</v>
      </c>
      <c r="F6" s="2" t="s">
        <v>12</v>
      </c>
      <c r="G6" s="2" t="s">
        <v>12</v>
      </c>
      <c r="H6" s="2" t="s">
        <v>13</v>
      </c>
    </row>
    <row r="7" spans="1:8" ht="20.100000000000001" customHeight="1" x14ac:dyDescent="0.45">
      <c r="A7" s="3">
        <v>123</v>
      </c>
      <c r="B7" s="2" t="s">
        <v>30</v>
      </c>
      <c r="C7" s="4" t="s">
        <v>31</v>
      </c>
      <c r="D7" s="4" t="s">
        <v>32</v>
      </c>
      <c r="E7" s="2" t="s">
        <v>33</v>
      </c>
      <c r="F7" s="2" t="s">
        <v>12</v>
      </c>
      <c r="G7" s="2" t="s">
        <v>12</v>
      </c>
      <c r="H7" s="2" t="s">
        <v>13</v>
      </c>
    </row>
  </sheetData>
  <autoFilter ref="A1:H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showGridLines="0" zoomScale="90" workbookViewId="0">
      <pane ySplit="1" topLeftCell="A2" activePane="bottomLeft" state="frozen"/>
      <selection pane="bottomLeft" activeCell="B13" sqref="B13"/>
    </sheetView>
  </sheetViews>
  <sheetFormatPr defaultColWidth="9.1328125" defaultRowHeight="14.25" x14ac:dyDescent="0.45"/>
  <cols>
    <col min="1" max="1" width="18" customWidth="1"/>
    <col min="2" max="2" width="26" customWidth="1"/>
  </cols>
  <sheetData>
    <row r="1" spans="1:2" ht="30" customHeight="1" x14ac:dyDescent="0.45">
      <c r="A1" s="1" t="s">
        <v>34</v>
      </c>
      <c r="B1" s="1" t="s">
        <v>35</v>
      </c>
    </row>
    <row r="2" spans="1:2" ht="20.100000000000001" customHeight="1" x14ac:dyDescent="0.45">
      <c r="A2" s="2" t="s">
        <v>46</v>
      </c>
      <c r="B2" s="2" t="s">
        <v>47</v>
      </c>
    </row>
    <row r="3" spans="1:2" ht="20.100000000000001" customHeight="1" x14ac:dyDescent="0.45">
      <c r="A3" s="2" t="s">
        <v>46</v>
      </c>
      <c r="B3" s="2" t="s">
        <v>48</v>
      </c>
    </row>
    <row r="4" spans="1:2" ht="20.100000000000001" customHeight="1" x14ac:dyDescent="0.45">
      <c r="A4" s="2" t="s">
        <v>36</v>
      </c>
      <c r="B4" s="2" t="s">
        <v>37</v>
      </c>
    </row>
    <row r="5" spans="1:2" ht="20.100000000000001" customHeight="1" x14ac:dyDescent="0.45">
      <c r="A5" s="2" t="s">
        <v>36</v>
      </c>
      <c r="B5" s="2" t="s">
        <v>41</v>
      </c>
    </row>
    <row r="6" spans="1:2" ht="20.100000000000001" customHeight="1" x14ac:dyDescent="0.45">
      <c r="A6" s="2" t="s">
        <v>36</v>
      </c>
      <c r="B6" s="2" t="s">
        <v>42</v>
      </c>
    </row>
    <row r="7" spans="1:2" ht="20.100000000000001" customHeight="1" x14ac:dyDescent="0.45">
      <c r="A7" s="2" t="s">
        <v>36</v>
      </c>
      <c r="B7" s="2" t="s">
        <v>1251</v>
      </c>
    </row>
    <row r="8" spans="1:2" ht="20.100000000000001" customHeight="1" x14ac:dyDescent="0.45">
      <c r="A8" s="2" t="s">
        <v>38</v>
      </c>
      <c r="B8" s="2" t="s">
        <v>39</v>
      </c>
    </row>
    <row r="9" spans="1:2" ht="20.100000000000001" customHeight="1" x14ac:dyDescent="0.45">
      <c r="A9" s="2" t="s">
        <v>38</v>
      </c>
      <c r="B9" s="2" t="s">
        <v>40</v>
      </c>
    </row>
    <row r="10" spans="1:2" ht="20.100000000000001" customHeight="1" x14ac:dyDescent="0.45">
      <c r="A10" s="2" t="s">
        <v>43</v>
      </c>
      <c r="B10" s="2" t="s">
        <v>44</v>
      </c>
    </row>
    <row r="11" spans="1:2" ht="20.100000000000001" customHeight="1" x14ac:dyDescent="0.45">
      <c r="A11" s="2" t="s">
        <v>43</v>
      </c>
      <c r="B11" s="2" t="s">
        <v>45</v>
      </c>
    </row>
    <row r="12" spans="1:2" ht="20.100000000000001" customHeight="1" x14ac:dyDescent="0.45">
      <c r="A12" s="2" t="s">
        <v>52</v>
      </c>
      <c r="B12" s="2" t="s">
        <v>53</v>
      </c>
    </row>
    <row r="13" spans="1:2" ht="20.100000000000001" customHeight="1" x14ac:dyDescent="0.45">
      <c r="A13" s="2" t="s">
        <v>52</v>
      </c>
      <c r="B13" s="2" t="s">
        <v>1252</v>
      </c>
    </row>
    <row r="14" spans="1:2" ht="20.100000000000001" customHeight="1" x14ac:dyDescent="0.45">
      <c r="A14" s="2" t="s">
        <v>52</v>
      </c>
      <c r="B14" s="2" t="s">
        <v>54</v>
      </c>
    </row>
    <row r="15" spans="1:2" ht="20.100000000000001" customHeight="1" x14ac:dyDescent="0.45">
      <c r="A15" s="2" t="s">
        <v>52</v>
      </c>
      <c r="B15" s="2" t="s">
        <v>1253</v>
      </c>
    </row>
    <row r="16" spans="1:2" ht="20.100000000000001" customHeight="1" x14ac:dyDescent="0.45">
      <c r="A16" s="2" t="s">
        <v>52</v>
      </c>
      <c r="B16" s="2" t="s">
        <v>55</v>
      </c>
    </row>
    <row r="17" spans="1:2" ht="20.100000000000001" customHeight="1" x14ac:dyDescent="0.45">
      <c r="A17" s="2" t="s">
        <v>52</v>
      </c>
      <c r="B17" s="2" t="s">
        <v>56</v>
      </c>
    </row>
    <row r="18" spans="1:2" ht="20.100000000000001" customHeight="1" x14ac:dyDescent="0.45">
      <c r="A18" s="2" t="s">
        <v>49</v>
      </c>
      <c r="B18" s="2" t="s">
        <v>50</v>
      </c>
    </row>
    <row r="19" spans="1:2" ht="20.100000000000001" customHeight="1" x14ac:dyDescent="0.45">
      <c r="A19" s="2" t="s">
        <v>49</v>
      </c>
      <c r="B19" s="2" t="s">
        <v>1254</v>
      </c>
    </row>
    <row r="20" spans="1:2" ht="20.100000000000001" customHeight="1" x14ac:dyDescent="0.45">
      <c r="A20" s="2" t="s">
        <v>49</v>
      </c>
      <c r="B20" s="2" t="s">
        <v>51</v>
      </c>
    </row>
  </sheetData>
  <autoFilter ref="A1:B20" xr:uid="{00000000-0009-0000-0000-000001000000}">
    <sortState xmlns:xlrd2="http://schemas.microsoft.com/office/spreadsheetml/2017/richdata2" ref="A2:B20">
      <sortCondition ref="A1:A20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D972"/>
  <sheetViews>
    <sheetView showGridLines="0" zoomScale="90" workbookViewId="0">
      <pane ySplit="1" topLeftCell="A108" activePane="bottomLeft" state="frozen"/>
      <selection pane="bottomLeft" activeCell="B983" sqref="B983"/>
    </sheetView>
  </sheetViews>
  <sheetFormatPr defaultColWidth="9.1328125" defaultRowHeight="14.25" x14ac:dyDescent="0.45"/>
  <cols>
    <col min="1" max="1" width="21" customWidth="1"/>
    <col min="2" max="2" width="24" customWidth="1"/>
    <col min="3" max="3" width="12" customWidth="1"/>
    <col min="4" max="4" width="28.73046875" customWidth="1"/>
  </cols>
  <sheetData>
    <row r="1" spans="1:4" ht="30" customHeight="1" x14ac:dyDescent="0.45">
      <c r="A1" s="1" t="s">
        <v>469</v>
      </c>
      <c r="B1" s="1" t="s">
        <v>35</v>
      </c>
      <c r="C1" s="1" t="s">
        <v>470</v>
      </c>
      <c r="D1" s="9" t="s">
        <v>474</v>
      </c>
    </row>
    <row r="2" spans="1:4" ht="20.100000000000001" hidden="1" customHeight="1" x14ac:dyDescent="0.45">
      <c r="A2" s="3">
        <v>912937</v>
      </c>
      <c r="B2" s="2" t="s">
        <v>42</v>
      </c>
      <c r="C2" s="2" t="s">
        <v>471</v>
      </c>
      <c r="D2" s="10" t="str">
        <f>IFERROR(_xlfn.XLOOKUP($A2&amp;"",Hoja1!$C$2:$C$253,Hoja1!$D$2:$D$253),IFERROR(_xlfn.XLOOKUP($A2,'Sucursales Empleado'!$A$2:$A$236,'Sucursales Empleado'!$B$2:$B$236),""))</f>
        <v>Parmessano Atlantis Bogota</v>
      </c>
    </row>
    <row r="3" spans="1:4" ht="20.100000000000001" hidden="1" customHeight="1" x14ac:dyDescent="0.45">
      <c r="A3" s="3">
        <v>912937</v>
      </c>
      <c r="B3" s="2" t="s">
        <v>40</v>
      </c>
      <c r="C3" s="2" t="s">
        <v>472</v>
      </c>
      <c r="D3" s="10" t="str">
        <f>IFERROR(_xlfn.XLOOKUP($A3&amp;"",Hoja1!$C$2:$C$253,Hoja1!$D$2:$D$253),IFERROR(_xlfn.XLOOKUP($A3,'Sucursales Empleado'!$A$2:$A$236,'Sucursales Empleado'!$B$2:$B$236),""))</f>
        <v>Parmessano Atlantis Bogota</v>
      </c>
    </row>
    <row r="4" spans="1:4" ht="20.100000000000001" hidden="1" customHeight="1" x14ac:dyDescent="0.45">
      <c r="A4" s="3">
        <v>912937</v>
      </c>
      <c r="B4" s="2" t="s">
        <v>41</v>
      </c>
      <c r="C4" s="2" t="s">
        <v>472</v>
      </c>
      <c r="D4" s="10" t="str">
        <f>IFERROR(_xlfn.XLOOKUP($A4&amp;"",Hoja1!$C$2:$C$253,Hoja1!$D$2:$D$253),IFERROR(_xlfn.XLOOKUP($A4,'Sucursales Empleado'!$A$2:$A$236,'Sucursales Empleado'!$B$2:$B$236),""))</f>
        <v>Parmessano Atlantis Bogota</v>
      </c>
    </row>
    <row r="5" spans="1:4" ht="20.100000000000001" hidden="1" customHeight="1" x14ac:dyDescent="0.45">
      <c r="A5" s="3">
        <v>912937</v>
      </c>
      <c r="B5" s="2" t="s">
        <v>1251</v>
      </c>
      <c r="C5" s="2" t="s">
        <v>471</v>
      </c>
      <c r="D5" s="10" t="str">
        <f>IFERROR(_xlfn.XLOOKUP($A5&amp;"",Hoja1!$C$2:$C$253,Hoja1!$D$2:$D$253),IFERROR(_xlfn.XLOOKUP($A5,'Sucursales Empleado'!$A$2:$A$236,'Sucursales Empleado'!$B$2:$B$236),""))</f>
        <v>Parmessano Atlantis Bogota</v>
      </c>
    </row>
    <row r="6" spans="1:4" ht="20.100000000000001" hidden="1" customHeight="1" x14ac:dyDescent="0.45">
      <c r="A6" s="3">
        <v>912937</v>
      </c>
      <c r="B6" s="2" t="s">
        <v>39</v>
      </c>
      <c r="C6" s="2" t="s">
        <v>472</v>
      </c>
      <c r="D6" s="10" t="str">
        <f>IFERROR(_xlfn.XLOOKUP($A6&amp;"",Hoja1!$C$2:$C$253,Hoja1!$D$2:$D$253),IFERROR(_xlfn.XLOOKUP($A6,'Sucursales Empleado'!$A$2:$A$236,'Sucursales Empleado'!$B$2:$B$236),""))</f>
        <v>Parmessano Atlantis Bogota</v>
      </c>
    </row>
    <row r="7" spans="1:4" ht="20.100000000000001" hidden="1" customHeight="1" x14ac:dyDescent="0.45">
      <c r="A7" s="3">
        <v>912937</v>
      </c>
      <c r="B7" s="2" t="s">
        <v>37</v>
      </c>
      <c r="C7" s="2" t="s">
        <v>471</v>
      </c>
      <c r="D7" s="10" t="str">
        <f>IFERROR(_xlfn.XLOOKUP($A7&amp;"",Hoja1!$C$2:$C$253,Hoja1!$D$2:$D$253),IFERROR(_xlfn.XLOOKUP($A7,'Sucursales Empleado'!$A$2:$A$236,'Sucursales Empleado'!$B$2:$B$236),""))</f>
        <v>Parmessano Atlantis Bogota</v>
      </c>
    </row>
    <row r="8" spans="1:4" ht="20.100000000000001" hidden="1" customHeight="1" x14ac:dyDescent="0.45">
      <c r="A8" s="3">
        <v>1410040</v>
      </c>
      <c r="B8" s="2" t="s">
        <v>42</v>
      </c>
      <c r="C8" s="2" t="s">
        <v>472</v>
      </c>
      <c r="D8" s="10" t="str">
        <f>IFERROR(_xlfn.XLOOKUP($A8&amp;"",Hoja1!$C$2:$C$253,Hoja1!$D$2:$D$253),IFERROR(_xlfn.XLOOKUP($A8,'Sucursales Empleado'!$A$2:$A$236,'Sucursales Empleado'!$B$2:$B$236),""))</f>
        <v>Parmessano Atlantis Bogota</v>
      </c>
    </row>
    <row r="9" spans="1:4" ht="20.100000000000001" hidden="1" customHeight="1" x14ac:dyDescent="0.45">
      <c r="A9" s="3">
        <v>1410040</v>
      </c>
      <c r="B9" s="2" t="s">
        <v>40</v>
      </c>
      <c r="C9" s="2" t="s">
        <v>472</v>
      </c>
      <c r="D9" s="10" t="str">
        <f>IFERROR(_xlfn.XLOOKUP($A9&amp;"",Hoja1!$C$2:$C$253,Hoja1!$D$2:$D$253),IFERROR(_xlfn.XLOOKUP($A9,'Sucursales Empleado'!$A$2:$A$236,'Sucursales Empleado'!$B$2:$B$236),""))</f>
        <v>Parmessano Atlantis Bogota</v>
      </c>
    </row>
    <row r="10" spans="1:4" ht="20.100000000000001" hidden="1" customHeight="1" x14ac:dyDescent="0.45">
      <c r="A10" s="3">
        <v>1410040</v>
      </c>
      <c r="B10" s="2" t="s">
        <v>41</v>
      </c>
      <c r="C10" s="2" t="s">
        <v>472</v>
      </c>
      <c r="D10" s="10" t="str">
        <f>IFERROR(_xlfn.XLOOKUP($A10&amp;"",Hoja1!$C$2:$C$253,Hoja1!$D$2:$D$253),IFERROR(_xlfn.XLOOKUP($A10,'Sucursales Empleado'!$A$2:$A$236,'Sucursales Empleado'!$B$2:$B$236),""))</f>
        <v>Parmessano Atlantis Bogota</v>
      </c>
    </row>
    <row r="11" spans="1:4" ht="20.100000000000001" hidden="1" customHeight="1" x14ac:dyDescent="0.45">
      <c r="A11" s="3">
        <v>1410040</v>
      </c>
      <c r="B11" s="2" t="s">
        <v>1251</v>
      </c>
      <c r="C11" s="2" t="s">
        <v>472</v>
      </c>
      <c r="D11" s="10" t="str">
        <f>IFERROR(_xlfn.XLOOKUP($A11&amp;"",Hoja1!$C$2:$C$253,Hoja1!$D$2:$D$253),IFERROR(_xlfn.XLOOKUP($A11,'Sucursales Empleado'!$A$2:$A$236,'Sucursales Empleado'!$B$2:$B$236),""))</f>
        <v>Parmessano Atlantis Bogota</v>
      </c>
    </row>
    <row r="12" spans="1:4" ht="20.100000000000001" hidden="1" customHeight="1" x14ac:dyDescent="0.45">
      <c r="A12" s="3">
        <v>1410040</v>
      </c>
      <c r="B12" s="2" t="s">
        <v>39</v>
      </c>
      <c r="C12" s="2" t="s">
        <v>472</v>
      </c>
      <c r="D12" s="10" t="str">
        <f>IFERROR(_xlfn.XLOOKUP($A12&amp;"",Hoja1!$C$2:$C$253,Hoja1!$D$2:$D$253),IFERROR(_xlfn.XLOOKUP($A12,'Sucursales Empleado'!$A$2:$A$236,'Sucursales Empleado'!$B$2:$B$236),""))</f>
        <v>Parmessano Atlantis Bogota</v>
      </c>
    </row>
    <row r="13" spans="1:4" ht="20.100000000000001" hidden="1" customHeight="1" x14ac:dyDescent="0.45">
      <c r="A13" s="3">
        <v>1410040</v>
      </c>
      <c r="B13" s="2" t="s">
        <v>37</v>
      </c>
      <c r="C13" s="2" t="s">
        <v>472</v>
      </c>
      <c r="D13" s="10" t="str">
        <f>IFERROR(_xlfn.XLOOKUP($A13&amp;"",Hoja1!$C$2:$C$253,Hoja1!$D$2:$D$253),IFERROR(_xlfn.XLOOKUP($A13,'Sucursales Empleado'!$A$2:$A$236,'Sucursales Empleado'!$B$2:$B$236),""))</f>
        <v>Parmessano Atlantis Bogota</v>
      </c>
    </row>
    <row r="14" spans="1:4" ht="20.100000000000001" hidden="1" customHeight="1" x14ac:dyDescent="0.45">
      <c r="A14" s="3">
        <v>6543622</v>
      </c>
      <c r="B14" s="2" t="s">
        <v>42</v>
      </c>
      <c r="C14" s="2" t="s">
        <v>472</v>
      </c>
      <c r="D14" s="10" t="str">
        <f>IFERROR(_xlfn.XLOOKUP($A14&amp;"",Hoja1!$C$2:$C$253,Hoja1!$D$2:$D$253),IFERROR(_xlfn.XLOOKUP($A14,'Sucursales Empleado'!$A$2:$A$236,'Sucursales Empleado'!$B$2:$B$236),""))</f>
        <v>Parmessano Atlantis Bogota</v>
      </c>
    </row>
    <row r="15" spans="1:4" ht="20.100000000000001" hidden="1" customHeight="1" x14ac:dyDescent="0.45">
      <c r="A15" s="3">
        <v>6543622</v>
      </c>
      <c r="B15" s="2" t="s">
        <v>40</v>
      </c>
      <c r="C15" s="2" t="s">
        <v>472</v>
      </c>
      <c r="D15" s="10" t="str">
        <f>IFERROR(_xlfn.XLOOKUP($A15&amp;"",Hoja1!$C$2:$C$253,Hoja1!$D$2:$D$253),IFERROR(_xlfn.XLOOKUP($A15,'Sucursales Empleado'!$A$2:$A$236,'Sucursales Empleado'!$B$2:$B$236),""))</f>
        <v>Parmessano Atlantis Bogota</v>
      </c>
    </row>
    <row r="16" spans="1:4" ht="20.100000000000001" hidden="1" customHeight="1" x14ac:dyDescent="0.45">
      <c r="A16" s="3">
        <v>6543622</v>
      </c>
      <c r="B16" s="2" t="s">
        <v>41</v>
      </c>
      <c r="C16" s="2" t="s">
        <v>472</v>
      </c>
      <c r="D16" s="10" t="str">
        <f>IFERROR(_xlfn.XLOOKUP($A16&amp;"",Hoja1!$C$2:$C$253,Hoja1!$D$2:$D$253),IFERROR(_xlfn.XLOOKUP($A16,'Sucursales Empleado'!$A$2:$A$236,'Sucursales Empleado'!$B$2:$B$236),""))</f>
        <v>Parmessano Atlantis Bogota</v>
      </c>
    </row>
    <row r="17" spans="1:4" ht="20.100000000000001" hidden="1" customHeight="1" x14ac:dyDescent="0.45">
      <c r="A17" s="3">
        <v>6543622</v>
      </c>
      <c r="B17" s="2" t="s">
        <v>1251</v>
      </c>
      <c r="C17" s="2" t="s">
        <v>472</v>
      </c>
      <c r="D17" s="10" t="str">
        <f>IFERROR(_xlfn.XLOOKUP($A17&amp;"",Hoja1!$C$2:$C$253,Hoja1!$D$2:$D$253),IFERROR(_xlfn.XLOOKUP($A17,'Sucursales Empleado'!$A$2:$A$236,'Sucursales Empleado'!$B$2:$B$236),""))</f>
        <v>Parmessano Atlantis Bogota</v>
      </c>
    </row>
    <row r="18" spans="1:4" ht="20.100000000000001" hidden="1" customHeight="1" x14ac:dyDescent="0.45">
      <c r="A18" s="3">
        <v>6543622</v>
      </c>
      <c r="B18" s="2" t="s">
        <v>39</v>
      </c>
      <c r="C18" s="2" t="s">
        <v>472</v>
      </c>
      <c r="D18" s="10" t="str">
        <f>IFERROR(_xlfn.XLOOKUP($A18&amp;"",Hoja1!$C$2:$C$253,Hoja1!$D$2:$D$253),IFERROR(_xlfn.XLOOKUP($A18,'Sucursales Empleado'!$A$2:$A$236,'Sucursales Empleado'!$B$2:$B$236),""))</f>
        <v>Parmessano Atlantis Bogota</v>
      </c>
    </row>
    <row r="19" spans="1:4" ht="20.100000000000001" hidden="1" customHeight="1" x14ac:dyDescent="0.45">
      <c r="A19" s="3">
        <v>6543622</v>
      </c>
      <c r="B19" s="2" t="s">
        <v>37</v>
      </c>
      <c r="C19" s="2" t="s">
        <v>472</v>
      </c>
      <c r="D19" s="10" t="str">
        <f>IFERROR(_xlfn.XLOOKUP($A19&amp;"",Hoja1!$C$2:$C$253,Hoja1!$D$2:$D$253),IFERROR(_xlfn.XLOOKUP($A19,'Sucursales Empleado'!$A$2:$A$236,'Sucursales Empleado'!$B$2:$B$236),""))</f>
        <v>Parmessano Atlantis Bogota</v>
      </c>
    </row>
    <row r="20" spans="1:4" ht="20.100000000000001" hidden="1" customHeight="1" x14ac:dyDescent="0.45">
      <c r="A20" s="3">
        <v>1000120544</v>
      </c>
      <c r="B20" s="2" t="s">
        <v>42</v>
      </c>
      <c r="C20" s="2" t="s">
        <v>472</v>
      </c>
      <c r="D20" s="10" t="str">
        <f>IFERROR(_xlfn.XLOOKUP($A20&amp;"",Hoja1!$C$2:$C$253,Hoja1!$D$2:$D$253),IFERROR(_xlfn.XLOOKUP($A20,'Sucursales Empleado'!$A$2:$A$236,'Sucursales Empleado'!$B$2:$B$236),""))</f>
        <v>Parmessano Atlantis Bogota</v>
      </c>
    </row>
    <row r="21" spans="1:4" ht="20.100000000000001" hidden="1" customHeight="1" x14ac:dyDescent="0.45">
      <c r="A21" s="3">
        <v>1000120544</v>
      </c>
      <c r="B21" s="2" t="s">
        <v>40</v>
      </c>
      <c r="C21" s="2" t="s">
        <v>472</v>
      </c>
      <c r="D21" s="10" t="str">
        <f>IFERROR(_xlfn.XLOOKUP($A21&amp;"",Hoja1!$C$2:$C$253,Hoja1!$D$2:$D$253),IFERROR(_xlfn.XLOOKUP($A21,'Sucursales Empleado'!$A$2:$A$236,'Sucursales Empleado'!$B$2:$B$236),""))</f>
        <v>Parmessano Atlantis Bogota</v>
      </c>
    </row>
    <row r="22" spans="1:4" ht="20.100000000000001" hidden="1" customHeight="1" x14ac:dyDescent="0.45">
      <c r="A22" s="3">
        <v>1000120544</v>
      </c>
      <c r="B22" s="2" t="s">
        <v>41</v>
      </c>
      <c r="C22" s="2" t="s">
        <v>473</v>
      </c>
      <c r="D22" s="10" t="str">
        <f>IFERROR(_xlfn.XLOOKUP($A22&amp;"",Hoja1!$C$2:$C$253,Hoja1!$D$2:$D$253),IFERROR(_xlfn.XLOOKUP($A22,'Sucursales Empleado'!$A$2:$A$236,'Sucursales Empleado'!$B$2:$B$236),""))</f>
        <v>Parmessano Atlantis Bogota</v>
      </c>
    </row>
    <row r="23" spans="1:4" ht="20.100000000000001" hidden="1" customHeight="1" x14ac:dyDescent="0.45">
      <c r="A23" s="3">
        <v>1000120544</v>
      </c>
      <c r="B23" s="2" t="s">
        <v>1251</v>
      </c>
      <c r="C23" s="2" t="s">
        <v>471</v>
      </c>
      <c r="D23" s="10" t="str">
        <f>IFERROR(_xlfn.XLOOKUP($A23&amp;"",Hoja1!$C$2:$C$253,Hoja1!$D$2:$D$253),IFERROR(_xlfn.XLOOKUP($A23,'Sucursales Empleado'!$A$2:$A$236,'Sucursales Empleado'!$B$2:$B$236),""))</f>
        <v>Parmessano Atlantis Bogota</v>
      </c>
    </row>
    <row r="24" spans="1:4" ht="20.100000000000001" hidden="1" customHeight="1" x14ac:dyDescent="0.45">
      <c r="A24" s="3">
        <v>1000120544</v>
      </c>
      <c r="B24" s="2" t="s">
        <v>39</v>
      </c>
      <c r="C24" s="2" t="s">
        <v>473</v>
      </c>
      <c r="D24" s="10" t="str">
        <f>IFERROR(_xlfn.XLOOKUP($A24&amp;"",Hoja1!$C$2:$C$253,Hoja1!$D$2:$D$253),IFERROR(_xlfn.XLOOKUP($A24,'Sucursales Empleado'!$A$2:$A$236,'Sucursales Empleado'!$B$2:$B$236),""))</f>
        <v>Parmessano Atlantis Bogota</v>
      </c>
    </row>
    <row r="25" spans="1:4" ht="20.100000000000001" hidden="1" customHeight="1" x14ac:dyDescent="0.45">
      <c r="A25" s="3">
        <v>1000120544</v>
      </c>
      <c r="B25" s="2" t="s">
        <v>37</v>
      </c>
      <c r="C25" s="2" t="s">
        <v>471</v>
      </c>
      <c r="D25" s="10" t="str">
        <f>IFERROR(_xlfn.XLOOKUP($A25&amp;"",Hoja1!$C$2:$C$253,Hoja1!$D$2:$D$253),IFERROR(_xlfn.XLOOKUP($A25,'Sucursales Empleado'!$A$2:$A$236,'Sucursales Empleado'!$B$2:$B$236),""))</f>
        <v>Parmessano Atlantis Bogota</v>
      </c>
    </row>
    <row r="26" spans="1:4" ht="20.100000000000001" hidden="1" customHeight="1" x14ac:dyDescent="0.45">
      <c r="A26" s="3">
        <v>1007718465</v>
      </c>
      <c r="B26" s="2" t="s">
        <v>42</v>
      </c>
      <c r="C26" s="2" t="s">
        <v>472</v>
      </c>
      <c r="D26" s="10" t="str">
        <f>IFERROR(_xlfn.XLOOKUP($A26&amp;"",Hoja1!$C$2:$C$253,Hoja1!$D$2:$D$253),IFERROR(_xlfn.XLOOKUP($A26,'Sucursales Empleado'!$A$2:$A$236,'Sucursales Empleado'!$B$2:$B$236),""))</f>
        <v>Parmessano Atlantis Bogota</v>
      </c>
    </row>
    <row r="27" spans="1:4" ht="20.100000000000001" hidden="1" customHeight="1" x14ac:dyDescent="0.45">
      <c r="A27" s="3">
        <v>1007718465</v>
      </c>
      <c r="B27" s="2" t="s">
        <v>40</v>
      </c>
      <c r="C27" s="2" t="s">
        <v>472</v>
      </c>
      <c r="D27" s="10" t="str">
        <f>IFERROR(_xlfn.XLOOKUP($A27&amp;"",Hoja1!$C$2:$C$253,Hoja1!$D$2:$D$253),IFERROR(_xlfn.XLOOKUP($A27,'Sucursales Empleado'!$A$2:$A$236,'Sucursales Empleado'!$B$2:$B$236),""))</f>
        <v>Parmessano Atlantis Bogota</v>
      </c>
    </row>
    <row r="28" spans="1:4" ht="20.100000000000001" hidden="1" customHeight="1" x14ac:dyDescent="0.45">
      <c r="A28" s="3">
        <v>1007718465</v>
      </c>
      <c r="B28" s="2" t="s">
        <v>41</v>
      </c>
      <c r="C28" s="2" t="s">
        <v>472</v>
      </c>
      <c r="D28" s="10" t="str">
        <f>IFERROR(_xlfn.XLOOKUP($A28&amp;"",Hoja1!$C$2:$C$253,Hoja1!$D$2:$D$253),IFERROR(_xlfn.XLOOKUP($A28,'Sucursales Empleado'!$A$2:$A$236,'Sucursales Empleado'!$B$2:$B$236),""))</f>
        <v>Parmessano Atlantis Bogota</v>
      </c>
    </row>
    <row r="29" spans="1:4" ht="20.100000000000001" hidden="1" customHeight="1" x14ac:dyDescent="0.45">
      <c r="A29" s="3">
        <v>1007718465</v>
      </c>
      <c r="B29" s="2" t="s">
        <v>1251</v>
      </c>
      <c r="C29" s="2" t="s">
        <v>472</v>
      </c>
      <c r="D29" s="10" t="str">
        <f>IFERROR(_xlfn.XLOOKUP($A29&amp;"",Hoja1!$C$2:$C$253,Hoja1!$D$2:$D$253),IFERROR(_xlfn.XLOOKUP($A29,'Sucursales Empleado'!$A$2:$A$236,'Sucursales Empleado'!$B$2:$B$236),""))</f>
        <v>Parmessano Atlantis Bogota</v>
      </c>
    </row>
    <row r="30" spans="1:4" ht="20.100000000000001" hidden="1" customHeight="1" x14ac:dyDescent="0.45">
      <c r="A30" s="3">
        <v>1007718465</v>
      </c>
      <c r="B30" s="2" t="s">
        <v>39</v>
      </c>
      <c r="C30" s="2" t="s">
        <v>472</v>
      </c>
      <c r="D30" s="10" t="str">
        <f>IFERROR(_xlfn.XLOOKUP($A30&amp;"",Hoja1!$C$2:$C$253,Hoja1!$D$2:$D$253),IFERROR(_xlfn.XLOOKUP($A30,'Sucursales Empleado'!$A$2:$A$236,'Sucursales Empleado'!$B$2:$B$236),""))</f>
        <v>Parmessano Atlantis Bogota</v>
      </c>
    </row>
    <row r="31" spans="1:4" ht="20.100000000000001" hidden="1" customHeight="1" x14ac:dyDescent="0.45">
      <c r="A31" s="3">
        <v>1007718465</v>
      </c>
      <c r="B31" s="2" t="s">
        <v>37</v>
      </c>
      <c r="C31" s="2" t="s">
        <v>472</v>
      </c>
      <c r="D31" s="10" t="str">
        <f>IFERROR(_xlfn.XLOOKUP($A31&amp;"",Hoja1!$C$2:$C$253,Hoja1!$D$2:$D$253),IFERROR(_xlfn.XLOOKUP($A31,'Sucursales Empleado'!$A$2:$A$236,'Sucursales Empleado'!$B$2:$B$236),""))</f>
        <v>Parmessano Atlantis Bogota</v>
      </c>
    </row>
    <row r="32" spans="1:4" ht="20.100000000000001" hidden="1" customHeight="1" x14ac:dyDescent="0.45">
      <c r="A32" s="3">
        <v>1018494723</v>
      </c>
      <c r="B32" s="2" t="s">
        <v>42</v>
      </c>
      <c r="C32" s="2" t="s">
        <v>472</v>
      </c>
      <c r="D32" s="10" t="str">
        <f>IFERROR(_xlfn.XLOOKUP($A32&amp;"",Hoja1!$C$2:$C$253,Hoja1!$D$2:$D$253),IFERROR(_xlfn.XLOOKUP($A32,'Sucursales Empleado'!$A$2:$A$236,'Sucursales Empleado'!$B$2:$B$236),""))</f>
        <v>Parmessano Atlantis Bogota</v>
      </c>
    </row>
    <row r="33" spans="1:4" ht="20.100000000000001" hidden="1" customHeight="1" x14ac:dyDescent="0.45">
      <c r="A33" s="3">
        <v>1018494723</v>
      </c>
      <c r="B33" s="2" t="s">
        <v>40</v>
      </c>
      <c r="C33" s="2" t="s">
        <v>473</v>
      </c>
      <c r="D33" s="10" t="str">
        <f>IFERROR(_xlfn.XLOOKUP($A33&amp;"",Hoja1!$C$2:$C$253,Hoja1!$D$2:$D$253),IFERROR(_xlfn.XLOOKUP($A33,'Sucursales Empleado'!$A$2:$A$236,'Sucursales Empleado'!$B$2:$B$236),""))</f>
        <v>Parmessano Atlantis Bogota</v>
      </c>
    </row>
    <row r="34" spans="1:4" ht="20.100000000000001" hidden="1" customHeight="1" x14ac:dyDescent="0.45">
      <c r="A34" s="3">
        <v>1018494723</v>
      </c>
      <c r="B34" s="2" t="s">
        <v>41</v>
      </c>
      <c r="C34" s="2" t="s">
        <v>472</v>
      </c>
      <c r="D34" s="10" t="str">
        <f>IFERROR(_xlfn.XLOOKUP($A34&amp;"",Hoja1!$C$2:$C$253,Hoja1!$D$2:$D$253),IFERROR(_xlfn.XLOOKUP($A34,'Sucursales Empleado'!$A$2:$A$236,'Sucursales Empleado'!$B$2:$B$236),""))</f>
        <v>Parmessano Atlantis Bogota</v>
      </c>
    </row>
    <row r="35" spans="1:4" ht="20.100000000000001" hidden="1" customHeight="1" x14ac:dyDescent="0.45">
      <c r="A35" s="3">
        <v>1018494723</v>
      </c>
      <c r="B35" s="2" t="s">
        <v>1251</v>
      </c>
      <c r="C35" s="2" t="s">
        <v>473</v>
      </c>
      <c r="D35" s="10" t="str">
        <f>IFERROR(_xlfn.XLOOKUP($A35&amp;"",Hoja1!$C$2:$C$253,Hoja1!$D$2:$D$253),IFERROR(_xlfn.XLOOKUP($A35,'Sucursales Empleado'!$A$2:$A$236,'Sucursales Empleado'!$B$2:$B$236),""))</f>
        <v>Parmessano Atlantis Bogota</v>
      </c>
    </row>
    <row r="36" spans="1:4" ht="20.100000000000001" hidden="1" customHeight="1" x14ac:dyDescent="0.45">
      <c r="A36" s="3">
        <v>1018494723</v>
      </c>
      <c r="B36" s="2" t="s">
        <v>39</v>
      </c>
      <c r="C36" s="2" t="s">
        <v>471</v>
      </c>
      <c r="D36" s="10" t="str">
        <f>IFERROR(_xlfn.XLOOKUP($A36&amp;"",Hoja1!$C$2:$C$253,Hoja1!$D$2:$D$253),IFERROR(_xlfn.XLOOKUP($A36,'Sucursales Empleado'!$A$2:$A$236,'Sucursales Empleado'!$B$2:$B$236),""))</f>
        <v>Parmessano Atlantis Bogota</v>
      </c>
    </row>
    <row r="37" spans="1:4" ht="20.100000000000001" hidden="1" customHeight="1" x14ac:dyDescent="0.45">
      <c r="A37" s="3">
        <v>1018494723</v>
      </c>
      <c r="B37" s="2" t="s">
        <v>37</v>
      </c>
      <c r="C37" s="2" t="s">
        <v>471</v>
      </c>
      <c r="D37" s="10" t="str">
        <f>IFERROR(_xlfn.XLOOKUP($A37&amp;"",Hoja1!$C$2:$C$253,Hoja1!$D$2:$D$253),IFERROR(_xlfn.XLOOKUP($A37,'Sucursales Empleado'!$A$2:$A$236,'Sucursales Empleado'!$B$2:$B$236),""))</f>
        <v>Parmessano Atlantis Bogota</v>
      </c>
    </row>
    <row r="38" spans="1:4" ht="20.100000000000001" hidden="1" customHeight="1" x14ac:dyDescent="0.45">
      <c r="A38" s="3">
        <v>1019155546</v>
      </c>
      <c r="B38" s="2" t="s">
        <v>42</v>
      </c>
      <c r="C38" s="2" t="s">
        <v>473</v>
      </c>
      <c r="D38" s="10" t="str">
        <f>IFERROR(_xlfn.XLOOKUP($A38&amp;"",Hoja1!$C$2:$C$253,Hoja1!$D$2:$D$253),IFERROR(_xlfn.XLOOKUP($A38,'Sucursales Empleado'!$A$2:$A$236,'Sucursales Empleado'!$B$2:$B$236),""))</f>
        <v>Parmessano Atlantis Bogota</v>
      </c>
    </row>
    <row r="39" spans="1:4" ht="20.100000000000001" hidden="1" customHeight="1" x14ac:dyDescent="0.45">
      <c r="A39" s="3">
        <v>1019155546</v>
      </c>
      <c r="B39" s="2" t="s">
        <v>40</v>
      </c>
      <c r="C39" s="2" t="s">
        <v>473</v>
      </c>
      <c r="D39" s="10" t="str">
        <f>IFERROR(_xlfn.XLOOKUP($A39&amp;"",Hoja1!$C$2:$C$253,Hoja1!$D$2:$D$253),IFERROR(_xlfn.XLOOKUP($A39,'Sucursales Empleado'!$A$2:$A$236,'Sucursales Empleado'!$B$2:$B$236),""))</f>
        <v>Parmessano Atlantis Bogota</v>
      </c>
    </row>
    <row r="40" spans="1:4" ht="20.100000000000001" hidden="1" customHeight="1" x14ac:dyDescent="0.45">
      <c r="A40" s="3">
        <v>1019155546</v>
      </c>
      <c r="B40" s="2" t="s">
        <v>41</v>
      </c>
      <c r="C40" s="2" t="s">
        <v>473</v>
      </c>
      <c r="D40" s="10" t="str">
        <f>IFERROR(_xlfn.XLOOKUP($A40&amp;"",Hoja1!$C$2:$C$253,Hoja1!$D$2:$D$253),IFERROR(_xlfn.XLOOKUP($A40,'Sucursales Empleado'!$A$2:$A$236,'Sucursales Empleado'!$B$2:$B$236),""))</f>
        <v>Parmessano Atlantis Bogota</v>
      </c>
    </row>
    <row r="41" spans="1:4" ht="20.100000000000001" hidden="1" customHeight="1" x14ac:dyDescent="0.45">
      <c r="A41" s="3">
        <v>1019155546</v>
      </c>
      <c r="B41" s="2" t="s">
        <v>1251</v>
      </c>
      <c r="C41" s="2" t="s">
        <v>471</v>
      </c>
      <c r="D41" s="10" t="str">
        <f>IFERROR(_xlfn.XLOOKUP($A41&amp;"",Hoja1!$C$2:$C$253,Hoja1!$D$2:$D$253),IFERROR(_xlfn.XLOOKUP($A41,'Sucursales Empleado'!$A$2:$A$236,'Sucursales Empleado'!$B$2:$B$236),""))</f>
        <v>Parmessano Atlantis Bogota</v>
      </c>
    </row>
    <row r="42" spans="1:4" ht="20.100000000000001" hidden="1" customHeight="1" x14ac:dyDescent="0.45">
      <c r="A42" s="3">
        <v>1019155546</v>
      </c>
      <c r="B42" s="2" t="s">
        <v>39</v>
      </c>
      <c r="C42" s="2" t="s">
        <v>473</v>
      </c>
      <c r="D42" s="10" t="str">
        <f>IFERROR(_xlfn.XLOOKUP($A42&amp;"",Hoja1!$C$2:$C$253,Hoja1!$D$2:$D$253),IFERROR(_xlfn.XLOOKUP($A42,'Sucursales Empleado'!$A$2:$A$236,'Sucursales Empleado'!$B$2:$B$236),""))</f>
        <v>Parmessano Atlantis Bogota</v>
      </c>
    </row>
    <row r="43" spans="1:4" ht="20.100000000000001" hidden="1" customHeight="1" x14ac:dyDescent="0.45">
      <c r="A43" s="3">
        <v>1019155546</v>
      </c>
      <c r="B43" s="2" t="s">
        <v>37</v>
      </c>
      <c r="C43" s="2" t="s">
        <v>473</v>
      </c>
      <c r="D43" s="10" t="str">
        <f>IFERROR(_xlfn.XLOOKUP($A43&amp;"",Hoja1!$C$2:$C$253,Hoja1!$D$2:$D$253),IFERROR(_xlfn.XLOOKUP($A43,'Sucursales Empleado'!$A$2:$A$236,'Sucursales Empleado'!$B$2:$B$236),""))</f>
        <v>Parmessano Atlantis Bogota</v>
      </c>
    </row>
    <row r="44" spans="1:4" ht="20.100000000000001" hidden="1" customHeight="1" x14ac:dyDescent="0.45">
      <c r="A44" s="3">
        <v>1026590881</v>
      </c>
      <c r="B44" s="2" t="s">
        <v>42</v>
      </c>
      <c r="C44" s="2" t="s">
        <v>472</v>
      </c>
      <c r="D44" s="10" t="str">
        <f>IFERROR(_xlfn.XLOOKUP($A44&amp;"",Hoja1!$C$2:$C$253,Hoja1!$D$2:$D$253),IFERROR(_xlfn.XLOOKUP($A44,'Sucursales Empleado'!$A$2:$A$236,'Sucursales Empleado'!$B$2:$B$236),""))</f>
        <v>Parmessano Atlantis Bogota</v>
      </c>
    </row>
    <row r="45" spans="1:4" ht="20.100000000000001" hidden="1" customHeight="1" x14ac:dyDescent="0.45">
      <c r="A45" s="3">
        <v>1026590881</v>
      </c>
      <c r="B45" s="2" t="s">
        <v>40</v>
      </c>
      <c r="C45" s="2" t="s">
        <v>472</v>
      </c>
      <c r="D45" s="10" t="str">
        <f>IFERROR(_xlfn.XLOOKUP($A45&amp;"",Hoja1!$C$2:$C$253,Hoja1!$D$2:$D$253),IFERROR(_xlfn.XLOOKUP($A45,'Sucursales Empleado'!$A$2:$A$236,'Sucursales Empleado'!$B$2:$B$236),""))</f>
        <v>Parmessano Atlantis Bogota</v>
      </c>
    </row>
    <row r="46" spans="1:4" ht="20.100000000000001" hidden="1" customHeight="1" x14ac:dyDescent="0.45">
      <c r="A46" s="3">
        <v>1026590881</v>
      </c>
      <c r="B46" s="2" t="s">
        <v>41</v>
      </c>
      <c r="C46" s="2" t="s">
        <v>472</v>
      </c>
      <c r="D46" s="10" t="str">
        <f>IFERROR(_xlfn.XLOOKUP($A46&amp;"",Hoja1!$C$2:$C$253,Hoja1!$D$2:$D$253),IFERROR(_xlfn.XLOOKUP($A46,'Sucursales Empleado'!$A$2:$A$236,'Sucursales Empleado'!$B$2:$B$236),""))</f>
        <v>Parmessano Atlantis Bogota</v>
      </c>
    </row>
    <row r="47" spans="1:4" ht="20.100000000000001" hidden="1" customHeight="1" x14ac:dyDescent="0.45">
      <c r="A47" s="3">
        <v>1026590881</v>
      </c>
      <c r="B47" s="2" t="s">
        <v>1251</v>
      </c>
      <c r="C47" s="2" t="s">
        <v>472</v>
      </c>
      <c r="D47" s="10" t="str">
        <f>IFERROR(_xlfn.XLOOKUP($A47&amp;"",Hoja1!$C$2:$C$253,Hoja1!$D$2:$D$253),IFERROR(_xlfn.XLOOKUP($A47,'Sucursales Empleado'!$A$2:$A$236,'Sucursales Empleado'!$B$2:$B$236),""))</f>
        <v>Parmessano Atlantis Bogota</v>
      </c>
    </row>
    <row r="48" spans="1:4" ht="20.100000000000001" hidden="1" customHeight="1" x14ac:dyDescent="0.45">
      <c r="A48" s="3">
        <v>1026590881</v>
      </c>
      <c r="B48" s="2" t="s">
        <v>39</v>
      </c>
      <c r="C48" s="2" t="s">
        <v>472</v>
      </c>
      <c r="D48" s="10" t="str">
        <f>IFERROR(_xlfn.XLOOKUP($A48&amp;"",Hoja1!$C$2:$C$253,Hoja1!$D$2:$D$253),IFERROR(_xlfn.XLOOKUP($A48,'Sucursales Empleado'!$A$2:$A$236,'Sucursales Empleado'!$B$2:$B$236),""))</f>
        <v>Parmessano Atlantis Bogota</v>
      </c>
    </row>
    <row r="49" spans="1:4" ht="20.100000000000001" hidden="1" customHeight="1" x14ac:dyDescent="0.45">
      <c r="A49" s="3">
        <v>1026590881</v>
      </c>
      <c r="B49" s="2" t="s">
        <v>37</v>
      </c>
      <c r="C49" s="2" t="s">
        <v>472</v>
      </c>
      <c r="D49" s="10" t="str">
        <f>IFERROR(_xlfn.XLOOKUP($A49&amp;"",Hoja1!$C$2:$C$253,Hoja1!$D$2:$D$253),IFERROR(_xlfn.XLOOKUP($A49,'Sucursales Empleado'!$A$2:$A$236,'Sucursales Empleado'!$B$2:$B$236),""))</f>
        <v>Parmessano Atlantis Bogota</v>
      </c>
    </row>
    <row r="50" spans="1:4" ht="20.100000000000001" hidden="1" customHeight="1" x14ac:dyDescent="0.45">
      <c r="A50" s="3">
        <v>1032358964</v>
      </c>
      <c r="B50" s="2" t="s">
        <v>42</v>
      </c>
      <c r="C50" s="2" t="s">
        <v>472</v>
      </c>
      <c r="D50" s="10" t="str">
        <f>IFERROR(_xlfn.XLOOKUP($A50&amp;"",Hoja1!$C$2:$C$253,Hoja1!$D$2:$D$253),IFERROR(_xlfn.XLOOKUP($A50,'Sucursales Empleado'!$A$2:$A$236,'Sucursales Empleado'!$B$2:$B$236),""))</f>
        <v>Parmessano Atlantis Bogota</v>
      </c>
    </row>
    <row r="51" spans="1:4" ht="20.100000000000001" hidden="1" customHeight="1" x14ac:dyDescent="0.45">
      <c r="A51" s="3">
        <v>1032358964</v>
      </c>
      <c r="B51" s="2" t="s">
        <v>40</v>
      </c>
      <c r="C51" s="2" t="s">
        <v>472</v>
      </c>
      <c r="D51" s="10" t="str">
        <f>IFERROR(_xlfn.XLOOKUP($A51&amp;"",Hoja1!$C$2:$C$253,Hoja1!$D$2:$D$253),IFERROR(_xlfn.XLOOKUP($A51,'Sucursales Empleado'!$A$2:$A$236,'Sucursales Empleado'!$B$2:$B$236),""))</f>
        <v>Parmessano Atlantis Bogota</v>
      </c>
    </row>
    <row r="52" spans="1:4" ht="20.100000000000001" hidden="1" customHeight="1" x14ac:dyDescent="0.45">
      <c r="A52" s="3">
        <v>1032358964</v>
      </c>
      <c r="B52" s="2" t="s">
        <v>41</v>
      </c>
      <c r="C52" s="2" t="s">
        <v>472</v>
      </c>
      <c r="D52" s="10" t="str">
        <f>IFERROR(_xlfn.XLOOKUP($A52&amp;"",Hoja1!$C$2:$C$253,Hoja1!$D$2:$D$253),IFERROR(_xlfn.XLOOKUP($A52,'Sucursales Empleado'!$A$2:$A$236,'Sucursales Empleado'!$B$2:$B$236),""))</f>
        <v>Parmessano Atlantis Bogota</v>
      </c>
    </row>
    <row r="53" spans="1:4" ht="20.100000000000001" hidden="1" customHeight="1" x14ac:dyDescent="0.45">
      <c r="A53" s="3">
        <v>1032358964</v>
      </c>
      <c r="B53" s="2" t="s">
        <v>1251</v>
      </c>
      <c r="C53" s="2" t="s">
        <v>472</v>
      </c>
      <c r="D53" s="10" t="str">
        <f>IFERROR(_xlfn.XLOOKUP($A53&amp;"",Hoja1!$C$2:$C$253,Hoja1!$D$2:$D$253),IFERROR(_xlfn.XLOOKUP($A53,'Sucursales Empleado'!$A$2:$A$236,'Sucursales Empleado'!$B$2:$B$236),""))</f>
        <v>Parmessano Atlantis Bogota</v>
      </c>
    </row>
    <row r="54" spans="1:4" ht="20.100000000000001" hidden="1" customHeight="1" x14ac:dyDescent="0.45">
      <c r="A54" s="3">
        <v>1032358964</v>
      </c>
      <c r="B54" s="2" t="s">
        <v>39</v>
      </c>
      <c r="C54" s="2" t="s">
        <v>472</v>
      </c>
      <c r="D54" s="10" t="str">
        <f>IFERROR(_xlfn.XLOOKUP($A54&amp;"",Hoja1!$C$2:$C$253,Hoja1!$D$2:$D$253),IFERROR(_xlfn.XLOOKUP($A54,'Sucursales Empleado'!$A$2:$A$236,'Sucursales Empleado'!$B$2:$B$236),""))</f>
        <v>Parmessano Atlantis Bogota</v>
      </c>
    </row>
    <row r="55" spans="1:4" ht="20.100000000000001" hidden="1" customHeight="1" x14ac:dyDescent="0.45">
      <c r="A55" s="3">
        <v>1032358964</v>
      </c>
      <c r="B55" s="2" t="s">
        <v>37</v>
      </c>
      <c r="C55" s="2" t="s">
        <v>472</v>
      </c>
      <c r="D55" s="10" t="str">
        <f>IFERROR(_xlfn.XLOOKUP($A55&amp;"",Hoja1!$C$2:$C$253,Hoja1!$D$2:$D$253),IFERROR(_xlfn.XLOOKUP($A55,'Sucursales Empleado'!$A$2:$A$236,'Sucursales Empleado'!$B$2:$B$236),""))</f>
        <v>Parmessano Atlantis Bogota</v>
      </c>
    </row>
    <row r="56" spans="1:4" ht="20.100000000000001" hidden="1" customHeight="1" x14ac:dyDescent="0.45">
      <c r="A56" s="3">
        <v>1070385532</v>
      </c>
      <c r="B56" s="2" t="s">
        <v>42</v>
      </c>
      <c r="C56" s="2" t="s">
        <v>472</v>
      </c>
      <c r="D56" s="10" t="str">
        <f>IFERROR(_xlfn.XLOOKUP($A56&amp;"",Hoja1!$C$2:$C$253,Hoja1!$D$2:$D$253),IFERROR(_xlfn.XLOOKUP($A56,'Sucursales Empleado'!$A$2:$A$236,'Sucursales Empleado'!$B$2:$B$236),""))</f>
        <v>Parmessano Atlantis Bogota</v>
      </c>
    </row>
    <row r="57" spans="1:4" ht="20.100000000000001" hidden="1" customHeight="1" x14ac:dyDescent="0.45">
      <c r="A57" s="3">
        <v>1070385532</v>
      </c>
      <c r="B57" s="2" t="s">
        <v>40</v>
      </c>
      <c r="C57" s="2" t="s">
        <v>472</v>
      </c>
      <c r="D57" s="10" t="str">
        <f>IFERROR(_xlfn.XLOOKUP($A57&amp;"",Hoja1!$C$2:$C$253,Hoja1!$D$2:$D$253),IFERROR(_xlfn.XLOOKUP($A57,'Sucursales Empleado'!$A$2:$A$236,'Sucursales Empleado'!$B$2:$B$236),""))</f>
        <v>Parmessano Atlantis Bogota</v>
      </c>
    </row>
    <row r="58" spans="1:4" ht="20.100000000000001" hidden="1" customHeight="1" x14ac:dyDescent="0.45">
      <c r="A58" s="3">
        <v>1070385532</v>
      </c>
      <c r="B58" s="2" t="s">
        <v>41</v>
      </c>
      <c r="C58" s="2" t="s">
        <v>472</v>
      </c>
      <c r="D58" s="10" t="str">
        <f>IFERROR(_xlfn.XLOOKUP($A58&amp;"",Hoja1!$C$2:$C$253,Hoja1!$D$2:$D$253),IFERROR(_xlfn.XLOOKUP($A58,'Sucursales Empleado'!$A$2:$A$236,'Sucursales Empleado'!$B$2:$B$236),""))</f>
        <v>Parmessano Atlantis Bogota</v>
      </c>
    </row>
    <row r="59" spans="1:4" ht="20.100000000000001" hidden="1" customHeight="1" x14ac:dyDescent="0.45">
      <c r="A59" s="3">
        <v>1070385532</v>
      </c>
      <c r="B59" s="2" t="s">
        <v>1251</v>
      </c>
      <c r="C59" s="2" t="s">
        <v>472</v>
      </c>
      <c r="D59" s="10" t="str">
        <f>IFERROR(_xlfn.XLOOKUP($A59&amp;"",Hoja1!$C$2:$C$253,Hoja1!$D$2:$D$253),IFERROR(_xlfn.XLOOKUP($A59,'Sucursales Empleado'!$A$2:$A$236,'Sucursales Empleado'!$B$2:$B$236),""))</f>
        <v>Parmessano Atlantis Bogota</v>
      </c>
    </row>
    <row r="60" spans="1:4" ht="20.100000000000001" hidden="1" customHeight="1" x14ac:dyDescent="0.45">
      <c r="A60" s="3">
        <v>1070385532</v>
      </c>
      <c r="B60" s="2" t="s">
        <v>39</v>
      </c>
      <c r="C60" s="2" t="s">
        <v>472</v>
      </c>
      <c r="D60" s="10" t="str">
        <f>IFERROR(_xlfn.XLOOKUP($A60&amp;"",Hoja1!$C$2:$C$253,Hoja1!$D$2:$D$253),IFERROR(_xlfn.XLOOKUP($A60,'Sucursales Empleado'!$A$2:$A$236,'Sucursales Empleado'!$B$2:$B$236),""))</f>
        <v>Parmessano Atlantis Bogota</v>
      </c>
    </row>
    <row r="61" spans="1:4" ht="20.100000000000001" hidden="1" customHeight="1" x14ac:dyDescent="0.45">
      <c r="A61" s="3">
        <v>1070385532</v>
      </c>
      <c r="B61" s="2" t="s">
        <v>37</v>
      </c>
      <c r="C61" s="2" t="s">
        <v>472</v>
      </c>
      <c r="D61" s="10" t="str">
        <f>IFERROR(_xlfn.XLOOKUP($A61&amp;"",Hoja1!$C$2:$C$253,Hoja1!$D$2:$D$253),IFERROR(_xlfn.XLOOKUP($A61,'Sucursales Empleado'!$A$2:$A$236,'Sucursales Empleado'!$B$2:$B$236),""))</f>
        <v>Parmessano Atlantis Bogota</v>
      </c>
    </row>
    <row r="62" spans="1:4" ht="20.100000000000001" hidden="1" customHeight="1" x14ac:dyDescent="0.45">
      <c r="A62" s="3">
        <v>1015410531</v>
      </c>
      <c r="B62" s="2" t="s">
        <v>53</v>
      </c>
      <c r="C62" s="2" t="s">
        <v>472</v>
      </c>
      <c r="D62" s="10" t="str">
        <f>IFERROR(_xlfn.XLOOKUP($A62&amp;"",Hoja1!$C$2:$C$253,Hoja1!$D$2:$D$253),IFERROR(_xlfn.XLOOKUP($A62,'Sucursales Empleado'!$A$2:$A$236,'Sucursales Empleado'!$B$2:$B$236),""))</f>
        <v>Parmessano Atlantis Bogota</v>
      </c>
    </row>
    <row r="63" spans="1:4" ht="20.100000000000001" hidden="1" customHeight="1" x14ac:dyDescent="0.45">
      <c r="A63" s="3">
        <v>1015410531</v>
      </c>
      <c r="B63" s="2" t="s">
        <v>1251</v>
      </c>
      <c r="C63" s="2" t="s">
        <v>472</v>
      </c>
      <c r="D63" s="10" t="str">
        <f>IFERROR(_xlfn.XLOOKUP($A63&amp;"",Hoja1!$C$2:$C$253,Hoja1!$D$2:$D$253),IFERROR(_xlfn.XLOOKUP($A63,'Sucursales Empleado'!$A$2:$A$236,'Sucursales Empleado'!$B$2:$B$236),""))</f>
        <v>Parmessano Atlantis Bogota</v>
      </c>
    </row>
    <row r="64" spans="1:4" ht="20.100000000000001" hidden="1" customHeight="1" x14ac:dyDescent="0.45">
      <c r="A64" s="3">
        <v>1015410531</v>
      </c>
      <c r="B64" s="2" t="s">
        <v>1253</v>
      </c>
      <c r="C64" s="2" t="s">
        <v>472</v>
      </c>
      <c r="D64" s="10" t="str">
        <f>IFERROR(_xlfn.XLOOKUP($A64&amp;"",Hoja1!$C$2:$C$253,Hoja1!$D$2:$D$253),IFERROR(_xlfn.XLOOKUP($A64,'Sucursales Empleado'!$A$2:$A$236,'Sucursales Empleado'!$B$2:$B$236),""))</f>
        <v>Parmessano Atlantis Bogota</v>
      </c>
    </row>
    <row r="65" spans="1:4" ht="20.100000000000001" hidden="1" customHeight="1" x14ac:dyDescent="0.45">
      <c r="A65" s="3">
        <v>79793908</v>
      </c>
      <c r="B65" s="2" t="s">
        <v>47</v>
      </c>
      <c r="C65" s="2" t="s">
        <v>472</v>
      </c>
      <c r="D65" s="10" t="str">
        <f>IFERROR(_xlfn.XLOOKUP($A65&amp;"",Hoja1!$C$2:$C$253,Hoja1!$D$2:$D$253),IFERROR(_xlfn.XLOOKUP($A65,'Sucursales Empleado'!$A$2:$A$236,'Sucursales Empleado'!$B$2:$B$236),""))</f>
        <v>Parmessano Atlantis Bogota</v>
      </c>
    </row>
    <row r="66" spans="1:4" ht="20.100000000000001" hidden="1" customHeight="1" x14ac:dyDescent="0.45">
      <c r="A66" s="3">
        <v>79793908</v>
      </c>
      <c r="B66" s="2" t="s">
        <v>48</v>
      </c>
      <c r="C66" s="2" t="s">
        <v>472</v>
      </c>
      <c r="D66" s="10" t="str">
        <f>IFERROR(_xlfn.XLOOKUP($A66&amp;"",Hoja1!$C$2:$C$253,Hoja1!$D$2:$D$253),IFERROR(_xlfn.XLOOKUP($A66,'Sucursales Empleado'!$A$2:$A$236,'Sucursales Empleado'!$B$2:$B$236),""))</f>
        <v>Parmessano Atlantis Bogota</v>
      </c>
    </row>
    <row r="67" spans="1:4" ht="20.100000000000001" hidden="1" customHeight="1" x14ac:dyDescent="0.45">
      <c r="A67" s="3">
        <v>5057939</v>
      </c>
      <c r="B67" s="2" t="s">
        <v>53</v>
      </c>
      <c r="C67" s="2" t="s">
        <v>472</v>
      </c>
      <c r="D67" s="10" t="str">
        <f>IFERROR(_xlfn.XLOOKUP($A67&amp;"",Hoja1!$C$2:$C$253,Hoja1!$D$2:$D$253),IFERROR(_xlfn.XLOOKUP($A67,'Sucursales Empleado'!$A$2:$A$236,'Sucursales Empleado'!$B$2:$B$236),""))</f>
        <v>Parmessano Atlantis Bogota</v>
      </c>
    </row>
    <row r="68" spans="1:4" ht="20.100000000000001" hidden="1" customHeight="1" x14ac:dyDescent="0.45">
      <c r="A68" s="3">
        <v>5057939</v>
      </c>
      <c r="B68" s="2" t="s">
        <v>1251</v>
      </c>
      <c r="C68" s="2" t="s">
        <v>472</v>
      </c>
      <c r="D68" s="10" t="str">
        <f>IFERROR(_xlfn.XLOOKUP($A68&amp;"",Hoja1!$C$2:$C$253,Hoja1!$D$2:$D$253),IFERROR(_xlfn.XLOOKUP($A68,'Sucursales Empleado'!$A$2:$A$236,'Sucursales Empleado'!$B$2:$B$236),""))</f>
        <v>Parmessano Atlantis Bogota</v>
      </c>
    </row>
    <row r="69" spans="1:4" ht="20.100000000000001" hidden="1" customHeight="1" x14ac:dyDescent="0.45">
      <c r="A69" s="3">
        <v>5057939</v>
      </c>
      <c r="B69" s="2" t="s">
        <v>1253</v>
      </c>
      <c r="C69" s="2" t="s">
        <v>472</v>
      </c>
      <c r="D69" s="10" t="str">
        <f>IFERROR(_xlfn.XLOOKUP($A69&amp;"",Hoja1!$C$2:$C$253,Hoja1!$D$2:$D$253),IFERROR(_xlfn.XLOOKUP($A69,'Sucursales Empleado'!$A$2:$A$236,'Sucursales Empleado'!$B$2:$B$236),""))</f>
        <v>Parmessano Atlantis Bogota</v>
      </c>
    </row>
    <row r="70" spans="1:4" ht="20.100000000000001" hidden="1" customHeight="1" x14ac:dyDescent="0.45">
      <c r="A70" s="3">
        <v>1033756966</v>
      </c>
      <c r="B70" s="2" t="s">
        <v>47</v>
      </c>
      <c r="C70" s="2" t="s">
        <v>472</v>
      </c>
      <c r="D70" s="10" t="str">
        <f>IFERROR(_xlfn.XLOOKUP($A70&amp;"",Hoja1!$C$2:$C$253,Hoja1!$D$2:$D$253),IFERROR(_xlfn.XLOOKUP($A70,'Sucursales Empleado'!$A$2:$A$236,'Sucursales Empleado'!$B$2:$B$236),""))</f>
        <v>Parmessano Atlantis Bogota</v>
      </c>
    </row>
    <row r="71" spans="1:4" ht="20.100000000000001" hidden="1" customHeight="1" x14ac:dyDescent="0.45">
      <c r="A71" s="3">
        <v>1033756966</v>
      </c>
      <c r="B71" s="2" t="s">
        <v>48</v>
      </c>
      <c r="C71" s="2" t="s">
        <v>472</v>
      </c>
      <c r="D71" s="10" t="str">
        <f>IFERROR(_xlfn.XLOOKUP($A71&amp;"",Hoja1!$C$2:$C$253,Hoja1!$D$2:$D$253),IFERROR(_xlfn.XLOOKUP($A71,'Sucursales Empleado'!$A$2:$A$236,'Sucursales Empleado'!$B$2:$B$236),""))</f>
        <v>Parmessano Atlantis Bogota</v>
      </c>
    </row>
    <row r="72" spans="1:4" ht="20.100000000000001" hidden="1" customHeight="1" x14ac:dyDescent="0.45">
      <c r="A72" s="3">
        <v>1019047471</v>
      </c>
      <c r="B72" s="2" t="s">
        <v>53</v>
      </c>
      <c r="C72" s="2" t="s">
        <v>472</v>
      </c>
      <c r="D72" s="10" t="str">
        <f>IFERROR(_xlfn.XLOOKUP($A72&amp;"",Hoja1!$C$2:$C$253,Hoja1!$D$2:$D$253),IFERROR(_xlfn.XLOOKUP($A72,'Sucursales Empleado'!$A$2:$A$236,'Sucursales Empleado'!$B$2:$B$236),""))</f>
        <v>Parmessano Atlantis Bogota</v>
      </c>
    </row>
    <row r="73" spans="1:4" ht="20.100000000000001" hidden="1" customHeight="1" x14ac:dyDescent="0.45">
      <c r="A73" s="3">
        <v>1019047471</v>
      </c>
      <c r="B73" s="2" t="s">
        <v>1251</v>
      </c>
      <c r="C73" s="2" t="s">
        <v>472</v>
      </c>
      <c r="D73" s="10" t="str">
        <f>IFERROR(_xlfn.XLOOKUP($A73&amp;"",Hoja1!$C$2:$C$253,Hoja1!$D$2:$D$253),IFERROR(_xlfn.XLOOKUP($A73,'Sucursales Empleado'!$A$2:$A$236,'Sucursales Empleado'!$B$2:$B$236),""))</f>
        <v>Parmessano Atlantis Bogota</v>
      </c>
    </row>
    <row r="74" spans="1:4" ht="20.100000000000001" hidden="1" customHeight="1" x14ac:dyDescent="0.45">
      <c r="A74" s="3">
        <v>1019047471</v>
      </c>
      <c r="B74" s="2" t="s">
        <v>1253</v>
      </c>
      <c r="C74" s="2" t="s">
        <v>472</v>
      </c>
      <c r="D74" s="10" t="str">
        <f>IFERROR(_xlfn.XLOOKUP($A74&amp;"",Hoja1!$C$2:$C$253,Hoja1!$D$2:$D$253),IFERROR(_xlfn.XLOOKUP($A74,'Sucursales Empleado'!$A$2:$A$236,'Sucursales Empleado'!$B$2:$B$236),""))</f>
        <v>Parmessano Atlantis Bogota</v>
      </c>
    </row>
    <row r="75" spans="1:4" ht="20.100000000000001" hidden="1" customHeight="1" x14ac:dyDescent="0.45">
      <c r="A75" s="3">
        <v>1000580654</v>
      </c>
      <c r="B75" s="2" t="s">
        <v>47</v>
      </c>
      <c r="C75" s="2" t="s">
        <v>472</v>
      </c>
      <c r="D75" s="10" t="str">
        <f>IFERROR(_xlfn.XLOOKUP($A75&amp;"",Hoja1!$C$2:$C$253,Hoja1!$D$2:$D$253),IFERROR(_xlfn.XLOOKUP($A75,'Sucursales Empleado'!$A$2:$A$236,'Sucursales Empleado'!$B$2:$B$236),""))</f>
        <v>Parmessano Atlantis Bogota</v>
      </c>
    </row>
    <row r="76" spans="1:4" ht="20.100000000000001" hidden="1" customHeight="1" x14ac:dyDescent="0.45">
      <c r="A76" s="3">
        <v>1000580654</v>
      </c>
      <c r="B76" s="2" t="s">
        <v>48</v>
      </c>
      <c r="C76" s="2" t="s">
        <v>472</v>
      </c>
      <c r="D76" s="10" t="str">
        <f>IFERROR(_xlfn.XLOOKUP($A76&amp;"",Hoja1!$C$2:$C$253,Hoja1!$D$2:$D$253),IFERROR(_xlfn.XLOOKUP($A76,'Sucursales Empleado'!$A$2:$A$236,'Sucursales Empleado'!$B$2:$B$236),""))</f>
        <v>Parmessano Atlantis Bogota</v>
      </c>
    </row>
    <row r="77" spans="1:4" ht="20.100000000000001" hidden="1" customHeight="1" x14ac:dyDescent="0.45">
      <c r="A77" s="3">
        <v>1032411588</v>
      </c>
      <c r="B77" s="2" t="s">
        <v>53</v>
      </c>
      <c r="C77" s="2" t="s">
        <v>472</v>
      </c>
      <c r="D77" s="10" t="str">
        <f>IFERROR(_xlfn.XLOOKUP($A77&amp;"",Hoja1!$C$2:$C$253,Hoja1!$D$2:$D$253),IFERROR(_xlfn.XLOOKUP($A77,'Sucursales Empleado'!$A$2:$A$236,'Sucursales Empleado'!$B$2:$B$236),""))</f>
        <v>Parmessano Atlantis Bogota</v>
      </c>
    </row>
    <row r="78" spans="1:4" ht="20.100000000000001" hidden="1" customHeight="1" x14ac:dyDescent="0.45">
      <c r="A78" s="3">
        <v>1032411588</v>
      </c>
      <c r="B78" s="2" t="s">
        <v>1251</v>
      </c>
      <c r="C78" s="2" t="s">
        <v>472</v>
      </c>
      <c r="D78" s="10" t="str">
        <f>IFERROR(_xlfn.XLOOKUP($A78&amp;"",Hoja1!$C$2:$C$253,Hoja1!$D$2:$D$253),IFERROR(_xlfn.XLOOKUP($A78,'Sucursales Empleado'!$A$2:$A$236,'Sucursales Empleado'!$B$2:$B$236),""))</f>
        <v>Parmessano Atlantis Bogota</v>
      </c>
    </row>
    <row r="79" spans="1:4" ht="20.100000000000001" hidden="1" customHeight="1" x14ac:dyDescent="0.45">
      <c r="A79" s="3">
        <v>1032411588</v>
      </c>
      <c r="B79" s="2" t="s">
        <v>1253</v>
      </c>
      <c r="C79" s="2" t="s">
        <v>472</v>
      </c>
      <c r="D79" s="10" t="str">
        <f>IFERROR(_xlfn.XLOOKUP($A79&amp;"",Hoja1!$C$2:$C$253,Hoja1!$D$2:$D$253),IFERROR(_xlfn.XLOOKUP($A79,'Sucursales Empleado'!$A$2:$A$236,'Sucursales Empleado'!$B$2:$B$236),""))</f>
        <v>Parmessano Atlantis Bogota</v>
      </c>
    </row>
    <row r="80" spans="1:4" ht="20.100000000000001" hidden="1" customHeight="1" x14ac:dyDescent="0.45">
      <c r="A80" s="3">
        <v>1014274291</v>
      </c>
      <c r="B80" s="2" t="s">
        <v>53</v>
      </c>
      <c r="C80" s="2" t="s">
        <v>472</v>
      </c>
      <c r="D80" s="10" t="str">
        <f>IFERROR(_xlfn.XLOOKUP($A80&amp;"",Hoja1!$C$2:$C$253,Hoja1!$D$2:$D$253),IFERROR(_xlfn.XLOOKUP($A80,'Sucursales Empleado'!$A$2:$A$236,'Sucursales Empleado'!$B$2:$B$236),""))</f>
        <v>Parmessano Atlantis Bogota</v>
      </c>
    </row>
    <row r="81" spans="1:4" ht="20.100000000000001" hidden="1" customHeight="1" x14ac:dyDescent="0.45">
      <c r="A81" s="3">
        <v>1014274291</v>
      </c>
      <c r="B81" s="2" t="s">
        <v>1251</v>
      </c>
      <c r="C81" s="2" t="s">
        <v>472</v>
      </c>
      <c r="D81" s="10" t="str">
        <f>IFERROR(_xlfn.XLOOKUP($A81&amp;"",Hoja1!$C$2:$C$253,Hoja1!$D$2:$D$253),IFERROR(_xlfn.XLOOKUP($A81,'Sucursales Empleado'!$A$2:$A$236,'Sucursales Empleado'!$B$2:$B$236),""))</f>
        <v>Parmessano Atlantis Bogota</v>
      </c>
    </row>
    <row r="82" spans="1:4" ht="20.100000000000001" hidden="1" customHeight="1" x14ac:dyDescent="0.45">
      <c r="A82" s="3">
        <v>1014274291</v>
      </c>
      <c r="B82" s="2" t="s">
        <v>1253</v>
      </c>
      <c r="C82" s="2" t="s">
        <v>472</v>
      </c>
      <c r="D82" s="10" t="str">
        <f>IFERROR(_xlfn.XLOOKUP($A82&amp;"",Hoja1!$C$2:$C$253,Hoja1!$D$2:$D$253),IFERROR(_xlfn.XLOOKUP($A82,'Sucursales Empleado'!$A$2:$A$236,'Sucursales Empleado'!$B$2:$B$236),""))</f>
        <v>Parmessano Atlantis Bogota</v>
      </c>
    </row>
    <row r="83" spans="1:4" ht="20.100000000000001" hidden="1" customHeight="1" x14ac:dyDescent="0.45">
      <c r="A83" s="3">
        <v>5016126</v>
      </c>
      <c r="B83" s="2" t="s">
        <v>53</v>
      </c>
      <c r="C83" s="2" t="s">
        <v>472</v>
      </c>
      <c r="D83" s="10" t="str">
        <f>IFERROR(_xlfn.XLOOKUP($A83&amp;"",Hoja1!$C$2:$C$253,Hoja1!$D$2:$D$253),IFERROR(_xlfn.XLOOKUP($A83,'Sucursales Empleado'!$A$2:$A$236,'Sucursales Empleado'!$B$2:$B$236),""))</f>
        <v>Parmessano Atlantis Bogota</v>
      </c>
    </row>
    <row r="84" spans="1:4" ht="20.100000000000001" hidden="1" customHeight="1" x14ac:dyDescent="0.45">
      <c r="A84" s="3">
        <v>5016126</v>
      </c>
      <c r="B84" s="2" t="s">
        <v>1251</v>
      </c>
      <c r="C84" s="2" t="s">
        <v>472</v>
      </c>
      <c r="D84" s="10" t="str">
        <f>IFERROR(_xlfn.XLOOKUP($A84&amp;"",Hoja1!$C$2:$C$253,Hoja1!$D$2:$D$253),IFERROR(_xlfn.XLOOKUP($A84,'Sucursales Empleado'!$A$2:$A$236,'Sucursales Empleado'!$B$2:$B$236),""))</f>
        <v>Parmessano Atlantis Bogota</v>
      </c>
    </row>
    <row r="85" spans="1:4" ht="20.100000000000001" hidden="1" customHeight="1" x14ac:dyDescent="0.45">
      <c r="A85" s="3">
        <v>5016126</v>
      </c>
      <c r="B85" s="2" t="s">
        <v>1253</v>
      </c>
      <c r="C85" s="2" t="s">
        <v>472</v>
      </c>
      <c r="D85" s="10" t="str">
        <f>IFERROR(_xlfn.XLOOKUP($A85&amp;"",Hoja1!$C$2:$C$253,Hoja1!$D$2:$D$253),IFERROR(_xlfn.XLOOKUP($A85,'Sucursales Empleado'!$A$2:$A$236,'Sucursales Empleado'!$B$2:$B$236),""))</f>
        <v>Parmessano Atlantis Bogota</v>
      </c>
    </row>
    <row r="86" spans="1:4" ht="20.100000000000001" hidden="1" customHeight="1" x14ac:dyDescent="0.45">
      <c r="A86" s="3">
        <v>1046404608</v>
      </c>
      <c r="B86" s="2" t="s">
        <v>50</v>
      </c>
      <c r="C86" s="2" t="s">
        <v>472</v>
      </c>
      <c r="D86" s="10" t="str">
        <f>IFERROR(_xlfn.XLOOKUP($A86&amp;"",Hoja1!$C$2:$C$253,Hoja1!$D$2:$D$253),IFERROR(_xlfn.XLOOKUP($A86,'Sucursales Empleado'!$A$2:$A$236,'Sucursales Empleado'!$B$2:$B$236),""))</f>
        <v>Parmessano Atlantis Bogota</v>
      </c>
    </row>
    <row r="87" spans="1:4" ht="20.100000000000001" hidden="1" customHeight="1" x14ac:dyDescent="0.45">
      <c r="A87" s="3">
        <v>1046404608</v>
      </c>
      <c r="B87" s="2" t="s">
        <v>1254</v>
      </c>
      <c r="C87" s="2" t="s">
        <v>472</v>
      </c>
      <c r="D87" s="10" t="str">
        <f>IFERROR(_xlfn.XLOOKUP($A87&amp;"",Hoja1!$C$2:$C$253,Hoja1!$D$2:$D$253),IFERROR(_xlfn.XLOOKUP($A87,'Sucursales Empleado'!$A$2:$A$236,'Sucursales Empleado'!$B$2:$B$236),""))</f>
        <v>Parmessano Atlantis Bogota</v>
      </c>
    </row>
    <row r="88" spans="1:4" ht="20.100000000000001" hidden="1" customHeight="1" x14ac:dyDescent="0.45">
      <c r="A88" s="3">
        <v>1046404608</v>
      </c>
      <c r="B88" s="2" t="s">
        <v>51</v>
      </c>
      <c r="C88" s="2" t="s">
        <v>472</v>
      </c>
      <c r="D88" s="10" t="str">
        <f>IFERROR(_xlfn.XLOOKUP($A88&amp;"",Hoja1!$C$2:$C$253,Hoja1!$D$2:$D$253),IFERROR(_xlfn.XLOOKUP($A88,'Sucursales Empleado'!$A$2:$A$236,'Sucursales Empleado'!$B$2:$B$236),""))</f>
        <v>Parmessano Atlantis Bogota</v>
      </c>
    </row>
    <row r="89" spans="1:4" ht="20.100000000000001" hidden="1" customHeight="1" x14ac:dyDescent="0.45">
      <c r="A89" s="3">
        <v>1026255909</v>
      </c>
      <c r="B89" s="2" t="s">
        <v>50</v>
      </c>
      <c r="C89" s="2" t="s">
        <v>472</v>
      </c>
      <c r="D89" s="10" t="str">
        <f>IFERROR(_xlfn.XLOOKUP($A89&amp;"",Hoja1!$C$2:$C$253,Hoja1!$D$2:$D$253),IFERROR(_xlfn.XLOOKUP($A89,'Sucursales Empleado'!$A$2:$A$236,'Sucursales Empleado'!$B$2:$B$236),""))</f>
        <v>Parmessano Atlantis Bogota</v>
      </c>
    </row>
    <row r="90" spans="1:4" ht="20.100000000000001" hidden="1" customHeight="1" x14ac:dyDescent="0.45">
      <c r="A90" s="3">
        <v>1026255909</v>
      </c>
      <c r="B90" s="2" t="s">
        <v>1254</v>
      </c>
      <c r="C90" s="2" t="s">
        <v>472</v>
      </c>
      <c r="D90" s="10" t="str">
        <f>IFERROR(_xlfn.XLOOKUP($A90&amp;"",Hoja1!$C$2:$C$253,Hoja1!$D$2:$D$253),IFERROR(_xlfn.XLOOKUP($A90,'Sucursales Empleado'!$A$2:$A$236,'Sucursales Empleado'!$B$2:$B$236),""))</f>
        <v>Parmessano Atlantis Bogota</v>
      </c>
    </row>
    <row r="91" spans="1:4" ht="20.100000000000001" hidden="1" customHeight="1" x14ac:dyDescent="0.45">
      <c r="A91" s="3">
        <v>1026255909</v>
      </c>
      <c r="B91" s="2" t="s">
        <v>51</v>
      </c>
      <c r="C91" s="2" t="s">
        <v>472</v>
      </c>
      <c r="D91" s="10" t="str">
        <f>IFERROR(_xlfn.XLOOKUP($A91&amp;"",Hoja1!$C$2:$C$253,Hoja1!$D$2:$D$253),IFERROR(_xlfn.XLOOKUP($A91,'Sucursales Empleado'!$A$2:$A$236,'Sucursales Empleado'!$B$2:$B$236),""))</f>
        <v>Parmessano Atlantis Bogota</v>
      </c>
    </row>
    <row r="92" spans="1:4" ht="20.100000000000001" hidden="1" customHeight="1" x14ac:dyDescent="0.45">
      <c r="A92" s="3">
        <v>1073681374</v>
      </c>
      <c r="B92" s="2" t="s">
        <v>53</v>
      </c>
      <c r="C92" s="2" t="s">
        <v>472</v>
      </c>
      <c r="D92" s="10" t="str">
        <f>IFERROR(_xlfn.XLOOKUP($A92&amp;"",Hoja1!$C$2:$C$253,Hoja1!$D$2:$D$253),IFERROR(_xlfn.XLOOKUP($A92,'Sucursales Empleado'!$A$2:$A$236,'Sucursales Empleado'!$B$2:$B$236),""))</f>
        <v>Parmessano Atlantis Bogota</v>
      </c>
    </row>
    <row r="93" spans="1:4" ht="20.100000000000001" hidden="1" customHeight="1" x14ac:dyDescent="0.45">
      <c r="A93" s="3">
        <v>1073681374</v>
      </c>
      <c r="B93" s="2" t="s">
        <v>1251</v>
      </c>
      <c r="C93" s="2" t="s">
        <v>472</v>
      </c>
      <c r="D93" s="10" t="str">
        <f>IFERROR(_xlfn.XLOOKUP($A93&amp;"",Hoja1!$C$2:$C$253,Hoja1!$D$2:$D$253),IFERROR(_xlfn.XLOOKUP($A93,'Sucursales Empleado'!$A$2:$A$236,'Sucursales Empleado'!$B$2:$B$236),""))</f>
        <v>Parmessano Atlantis Bogota</v>
      </c>
    </row>
    <row r="94" spans="1:4" ht="20.100000000000001" hidden="1" customHeight="1" x14ac:dyDescent="0.45">
      <c r="A94" s="3">
        <v>1073681374</v>
      </c>
      <c r="B94" s="2" t="s">
        <v>1253</v>
      </c>
      <c r="C94" s="2" t="s">
        <v>472</v>
      </c>
      <c r="D94" s="10" t="str">
        <f>IFERROR(_xlfn.XLOOKUP($A94&amp;"",Hoja1!$C$2:$C$253,Hoja1!$D$2:$D$253),IFERROR(_xlfn.XLOOKUP($A94,'Sucursales Empleado'!$A$2:$A$236,'Sucursales Empleado'!$B$2:$B$236),""))</f>
        <v>Parmessano Atlantis Bogota</v>
      </c>
    </row>
    <row r="95" spans="1:4" ht="20.100000000000001" hidden="1" customHeight="1" x14ac:dyDescent="0.45">
      <c r="A95" s="3">
        <v>36452081</v>
      </c>
      <c r="B95" s="2" t="s">
        <v>50</v>
      </c>
      <c r="C95" s="2" t="s">
        <v>472</v>
      </c>
      <c r="D95" s="10" t="str">
        <f>IFERROR(_xlfn.XLOOKUP($A95&amp;"",Hoja1!$C$2:$C$253,Hoja1!$D$2:$D$253),IFERROR(_xlfn.XLOOKUP($A95,'Sucursales Empleado'!$A$2:$A$236,'Sucursales Empleado'!$B$2:$B$236),""))</f>
        <v>Parmessano Atlantis Bogota</v>
      </c>
    </row>
    <row r="96" spans="1:4" ht="20.100000000000001" hidden="1" customHeight="1" x14ac:dyDescent="0.45">
      <c r="A96" s="3">
        <v>36452081</v>
      </c>
      <c r="B96" s="2" t="s">
        <v>1253</v>
      </c>
      <c r="C96" s="2" t="s">
        <v>472</v>
      </c>
      <c r="D96" s="10" t="str">
        <f>IFERROR(_xlfn.XLOOKUP($A96&amp;"",Hoja1!$C$2:$C$253,Hoja1!$D$2:$D$253),IFERROR(_xlfn.XLOOKUP($A96,'Sucursales Empleado'!$A$2:$A$236,'Sucursales Empleado'!$B$2:$B$236),""))</f>
        <v>Parmessano Atlantis Bogota</v>
      </c>
    </row>
    <row r="97" spans="1:4" ht="20.100000000000001" hidden="1" customHeight="1" x14ac:dyDescent="0.45">
      <c r="A97" s="3">
        <v>36452081</v>
      </c>
      <c r="B97" s="2" t="s">
        <v>51</v>
      </c>
      <c r="C97" s="2" t="s">
        <v>472</v>
      </c>
      <c r="D97" s="10" t="str">
        <f>IFERROR(_xlfn.XLOOKUP($A97&amp;"",Hoja1!$C$2:$C$253,Hoja1!$D$2:$D$253),IFERROR(_xlfn.XLOOKUP($A97,'Sucursales Empleado'!$A$2:$A$236,'Sucursales Empleado'!$B$2:$B$236),""))</f>
        <v>Parmessano Atlantis Bogota</v>
      </c>
    </row>
    <row r="98" spans="1:4" ht="20.100000000000001" hidden="1" customHeight="1" x14ac:dyDescent="0.45">
      <c r="A98" s="3">
        <v>1019155792</v>
      </c>
      <c r="B98" s="2" t="s">
        <v>47</v>
      </c>
      <c r="C98" s="2" t="s">
        <v>471</v>
      </c>
      <c r="D98" s="10" t="str">
        <f>IFERROR(_xlfn.XLOOKUP($A98&amp;"",Hoja1!$C$2:$C$253,Hoja1!$D$2:$D$253),IFERROR(_xlfn.XLOOKUP($A98,'Sucursales Empleado'!$A$2:$A$236,'Sucursales Empleado'!$B$2:$B$236),""))</f>
        <v>Parmessano Atlantis Bogota</v>
      </c>
    </row>
    <row r="99" spans="1:4" ht="20.100000000000001" hidden="1" customHeight="1" x14ac:dyDescent="0.45">
      <c r="A99" s="3">
        <v>1019155792</v>
      </c>
      <c r="B99" s="2" t="s">
        <v>48</v>
      </c>
      <c r="C99" s="2" t="s">
        <v>471</v>
      </c>
      <c r="D99" s="10" t="str">
        <f>IFERROR(_xlfn.XLOOKUP($A99&amp;"",Hoja1!$C$2:$C$253,Hoja1!$D$2:$D$253),IFERROR(_xlfn.XLOOKUP($A99,'Sucursales Empleado'!$A$2:$A$236,'Sucursales Empleado'!$B$2:$B$236),""))</f>
        <v>Parmessano Atlantis Bogota</v>
      </c>
    </row>
    <row r="100" spans="1:4" ht="20.100000000000001" hidden="1" customHeight="1" x14ac:dyDescent="0.45">
      <c r="A100" s="3">
        <v>1041440332</v>
      </c>
      <c r="B100" s="2" t="s">
        <v>50</v>
      </c>
      <c r="C100" s="2" t="s">
        <v>473</v>
      </c>
      <c r="D100" s="10" t="str">
        <f>IFERROR(_xlfn.XLOOKUP($A100&amp;"",Hoja1!$C$2:$C$253,Hoja1!$D$2:$D$253),IFERROR(_xlfn.XLOOKUP($A100,'Sucursales Empleado'!$A$2:$A$236,'Sucursales Empleado'!$B$2:$B$236),""))</f>
        <v>Parmessano Atlantis Bogota</v>
      </c>
    </row>
    <row r="101" spans="1:4" ht="20.100000000000001" hidden="1" customHeight="1" x14ac:dyDescent="0.45">
      <c r="A101" s="3">
        <v>1041440332</v>
      </c>
      <c r="B101" s="2" t="s">
        <v>1254</v>
      </c>
      <c r="C101" s="2" t="s">
        <v>473</v>
      </c>
      <c r="D101" s="10" t="str">
        <f>IFERROR(_xlfn.XLOOKUP($A101&amp;"",Hoja1!$C$2:$C$253,Hoja1!$D$2:$D$253),IFERROR(_xlfn.XLOOKUP($A101,'Sucursales Empleado'!$A$2:$A$236,'Sucursales Empleado'!$B$2:$B$236),""))</f>
        <v>Parmessano Atlantis Bogota</v>
      </c>
    </row>
    <row r="102" spans="1:4" ht="20.100000000000001" hidden="1" customHeight="1" x14ac:dyDescent="0.45">
      <c r="A102" s="3">
        <v>1041440332</v>
      </c>
      <c r="B102" s="2" t="s">
        <v>51</v>
      </c>
      <c r="C102" s="2" t="s">
        <v>473</v>
      </c>
      <c r="D102" s="10" t="str">
        <f>IFERROR(_xlfn.XLOOKUP($A102&amp;"",Hoja1!$C$2:$C$253,Hoja1!$D$2:$D$253),IFERROR(_xlfn.XLOOKUP($A102,'Sucursales Empleado'!$A$2:$A$236,'Sucursales Empleado'!$B$2:$B$236),""))</f>
        <v>Parmessano Atlantis Bogota</v>
      </c>
    </row>
    <row r="103" spans="1:4" ht="20.100000000000001" hidden="1" customHeight="1" x14ac:dyDescent="0.45">
      <c r="A103" s="5">
        <v>1012407746</v>
      </c>
      <c r="B103" s="2" t="s">
        <v>55</v>
      </c>
      <c r="C103" s="6" t="s">
        <v>471</v>
      </c>
      <c r="D103" s="10" t="str">
        <f>IFERROR(_xlfn.XLOOKUP($A103&amp;"",Hoja1!$C$2:$C$253,Hoja1!$D$2:$D$253),IFERROR(_xlfn.XLOOKUP($A103,'Sucursales Empleado'!$A$2:$A$236,'Sucursales Empleado'!$B$2:$B$236),""))</f>
        <v>Parmessano Atlantis Bogota</v>
      </c>
    </row>
    <row r="104" spans="1:4" ht="20.100000000000001" hidden="1" customHeight="1" x14ac:dyDescent="0.45">
      <c r="A104" s="5">
        <v>1101754273</v>
      </c>
      <c r="B104" s="2" t="s">
        <v>55</v>
      </c>
      <c r="C104" s="6" t="s">
        <v>471</v>
      </c>
      <c r="D104" s="10" t="str">
        <f>IFERROR(_xlfn.XLOOKUP($A104&amp;"",Hoja1!$C$2:$C$253,Hoja1!$D$2:$D$253),IFERROR(_xlfn.XLOOKUP($A104,'Sucursales Empleado'!$A$2:$A$236,'Sucursales Empleado'!$B$2:$B$236),""))</f>
        <v>Parmessano Atlantis Bogota</v>
      </c>
    </row>
    <row r="105" spans="1:4" ht="20.100000000000001" hidden="1" customHeight="1" x14ac:dyDescent="0.45">
      <c r="A105" s="13">
        <v>52351654</v>
      </c>
      <c r="B105" s="11" t="s">
        <v>47</v>
      </c>
      <c r="C105" s="11" t="s">
        <v>471</v>
      </c>
      <c r="D105" s="11" t="str">
        <f>IFERROR(_xlfn.XLOOKUP($A105&amp;"",Hoja1!$C$2:$C$290,Hoja1!$D$2:$D$290),IFERROR(_xlfn.XLOOKUP($A105,'Sucursales Empleado'!$A$2:$A$265,'Sucursales Empleado'!$B$2:$B$265),""))</f>
        <v>Parmessano Atlantis Bogota</v>
      </c>
    </row>
    <row r="106" spans="1:4" ht="20.100000000000001" hidden="1" customHeight="1" x14ac:dyDescent="0.45">
      <c r="A106" s="13">
        <v>52351654</v>
      </c>
      <c r="B106" s="11" t="s">
        <v>48</v>
      </c>
      <c r="C106" s="11" t="s">
        <v>471</v>
      </c>
      <c r="D106" s="11" t="str">
        <f>IFERROR(_xlfn.XLOOKUP($A106&amp;"",Hoja1!$C$2:$C$290,Hoja1!$D$2:$D$290),IFERROR(_xlfn.XLOOKUP($A106,'Sucursales Empleado'!$A$2:$A$265,'Sucursales Empleado'!$B$2:$B$265),""))</f>
        <v>Parmessano Atlantis Bogota</v>
      </c>
    </row>
    <row r="107" spans="1:4" ht="20.100000000000001" hidden="1" customHeight="1" x14ac:dyDescent="0.45">
      <c r="A107" s="13">
        <v>1192899760</v>
      </c>
      <c r="B107" s="11" t="s">
        <v>53</v>
      </c>
      <c r="C107" s="11" t="s">
        <v>471</v>
      </c>
      <c r="D107" s="11" t="str">
        <f>IFERROR(_xlfn.XLOOKUP($A107&amp;"",Hoja1!$C$2:$C$290,Hoja1!$D$2:$D$290),IFERROR(_xlfn.XLOOKUP($A107,'Sucursales Empleado'!$A$2:$A$265,'Sucursales Empleado'!$B$2:$B$265),""))</f>
        <v>Parmessano Atlantis Bogota</v>
      </c>
    </row>
    <row r="108" spans="1:4" ht="20.100000000000001" customHeight="1" x14ac:dyDescent="0.45">
      <c r="A108" s="13">
        <v>1192899760</v>
      </c>
      <c r="B108" s="11" t="s">
        <v>1252</v>
      </c>
      <c r="C108" s="11" t="s">
        <v>471</v>
      </c>
      <c r="D108" s="11" t="str">
        <f>IFERROR(_xlfn.XLOOKUP($A108&amp;"",Hoja1!$C$2:$C$290,Hoja1!$D$2:$D$290),IFERROR(_xlfn.XLOOKUP($A108,'Sucursales Empleado'!$A$2:$A$265,'Sucursales Empleado'!$B$2:$B$265),""))</f>
        <v>Parmessano Atlantis Bogota</v>
      </c>
    </row>
    <row r="109" spans="1:4" ht="20.100000000000001" hidden="1" customHeight="1" x14ac:dyDescent="0.45">
      <c r="A109" s="13">
        <v>1192899760</v>
      </c>
      <c r="B109" s="11" t="s">
        <v>1254</v>
      </c>
      <c r="C109" s="11" t="s">
        <v>471</v>
      </c>
      <c r="D109" s="11" t="str">
        <f>IFERROR(_xlfn.XLOOKUP($A109&amp;"",Hoja1!$C$2:$C$290,Hoja1!$D$2:$D$290),IFERROR(_xlfn.XLOOKUP($A109,'Sucursales Empleado'!$A$2:$A$265,'Sucursales Empleado'!$B$2:$B$265),""))</f>
        <v>Parmessano Atlantis Bogota</v>
      </c>
    </row>
    <row r="110" spans="1:4" ht="20.100000000000001" hidden="1" customHeight="1" x14ac:dyDescent="0.45">
      <c r="A110" s="13">
        <v>1192899760</v>
      </c>
      <c r="B110" s="11" t="s">
        <v>50</v>
      </c>
      <c r="C110" s="11" t="s">
        <v>471</v>
      </c>
      <c r="D110" s="11" t="str">
        <f>IFERROR(_xlfn.XLOOKUP($A110&amp;"",Hoja1!$C$2:$C$290,Hoja1!$D$2:$D$290),IFERROR(_xlfn.XLOOKUP($A110,'Sucursales Empleado'!$A$2:$A$265,'Sucursales Empleado'!$B$2:$B$265),""))</f>
        <v>Parmessano Atlantis Bogota</v>
      </c>
    </row>
    <row r="111" spans="1:4" ht="20.100000000000001" hidden="1" customHeight="1" x14ac:dyDescent="0.45">
      <c r="A111" s="13">
        <v>1192899760</v>
      </c>
      <c r="B111" s="11" t="s">
        <v>51</v>
      </c>
      <c r="C111" s="11" t="s">
        <v>471</v>
      </c>
      <c r="D111" s="11" t="str">
        <f>IFERROR(_xlfn.XLOOKUP($A111&amp;"",Hoja1!$C$2:$C$290,Hoja1!$D$2:$D$290),IFERROR(_xlfn.XLOOKUP($A111,'Sucursales Empleado'!$A$2:$A$265,'Sucursales Empleado'!$B$2:$B$265),""))</f>
        <v>Parmessano Atlantis Bogota</v>
      </c>
    </row>
    <row r="112" spans="1:4" ht="20.100000000000001" hidden="1" customHeight="1" x14ac:dyDescent="0.45">
      <c r="A112" s="13">
        <v>1129500731</v>
      </c>
      <c r="B112" s="11" t="s">
        <v>53</v>
      </c>
      <c r="C112" s="11" t="s">
        <v>471</v>
      </c>
      <c r="D112" s="11" t="str">
        <f>IFERROR(_xlfn.XLOOKUP($A112&amp;"",Hoja1!$C$2:$C$290,Hoja1!$D$2:$D$290),IFERROR(_xlfn.XLOOKUP($A112,'Sucursales Empleado'!$A$2:$A$265,'Sucursales Empleado'!$B$2:$B$265),""))</f>
        <v>Parmessano Atlantis Bogota</v>
      </c>
    </row>
    <row r="113" spans="1:4" ht="20.100000000000001" customHeight="1" x14ac:dyDescent="0.45">
      <c r="A113" s="13">
        <v>1129500731</v>
      </c>
      <c r="B113" s="11" t="s">
        <v>1252</v>
      </c>
      <c r="C113" s="11" t="s">
        <v>471</v>
      </c>
      <c r="D113" s="11" t="str">
        <f>IFERROR(_xlfn.XLOOKUP($A113&amp;"",Hoja1!$C$2:$C$290,Hoja1!$D$2:$D$290),IFERROR(_xlfn.XLOOKUP($A113,'Sucursales Empleado'!$A$2:$A$265,'Sucursales Empleado'!$B$2:$B$265),""))</f>
        <v>Parmessano Atlantis Bogota</v>
      </c>
    </row>
    <row r="114" spans="1:4" ht="20.100000000000001" hidden="1" customHeight="1" x14ac:dyDescent="0.45">
      <c r="A114" s="13">
        <v>1129500731</v>
      </c>
      <c r="B114" s="11" t="s">
        <v>1254</v>
      </c>
      <c r="C114" s="11" t="s">
        <v>471</v>
      </c>
      <c r="D114" s="11" t="str">
        <f>IFERROR(_xlfn.XLOOKUP($A114&amp;"",Hoja1!$C$2:$C$290,Hoja1!$D$2:$D$290),IFERROR(_xlfn.XLOOKUP($A114,'Sucursales Empleado'!$A$2:$A$265,'Sucursales Empleado'!$B$2:$B$265),""))</f>
        <v>Parmessano Atlantis Bogota</v>
      </c>
    </row>
    <row r="115" spans="1:4" ht="20.100000000000001" hidden="1" customHeight="1" x14ac:dyDescent="0.45">
      <c r="A115" s="13">
        <v>1129500731</v>
      </c>
      <c r="B115" s="11" t="s">
        <v>50</v>
      </c>
      <c r="C115" s="11" t="s">
        <v>471</v>
      </c>
      <c r="D115" s="11" t="str">
        <f>IFERROR(_xlfn.XLOOKUP($A115&amp;"",Hoja1!$C$2:$C$290,Hoja1!$D$2:$D$290),IFERROR(_xlfn.XLOOKUP($A115,'Sucursales Empleado'!$A$2:$A$265,'Sucursales Empleado'!$B$2:$B$265),""))</f>
        <v>Parmessano Atlantis Bogota</v>
      </c>
    </row>
    <row r="116" spans="1:4" ht="20.100000000000001" hidden="1" customHeight="1" x14ac:dyDescent="0.45">
      <c r="A116" s="13">
        <v>1129500731</v>
      </c>
      <c r="B116" s="11" t="s">
        <v>51</v>
      </c>
      <c r="C116" s="11" t="s">
        <v>471</v>
      </c>
      <c r="D116" s="11" t="str">
        <f>IFERROR(_xlfn.XLOOKUP($A116&amp;"",Hoja1!$C$2:$C$290,Hoja1!$D$2:$D$290),IFERROR(_xlfn.XLOOKUP($A116,'Sucursales Empleado'!$A$2:$A$265,'Sucursales Empleado'!$B$2:$B$265),""))</f>
        <v>Parmessano Atlantis Bogota</v>
      </c>
    </row>
    <row r="117" spans="1:4" ht="20.100000000000001" hidden="1" customHeight="1" x14ac:dyDescent="0.45">
      <c r="A117" s="13">
        <v>7016718</v>
      </c>
      <c r="B117" s="11" t="s">
        <v>53</v>
      </c>
      <c r="C117" s="11" t="s">
        <v>471</v>
      </c>
      <c r="D117" s="11" t="str">
        <f>IFERROR(_xlfn.XLOOKUP($A117&amp;"",Hoja1!$C$2:$C$290,Hoja1!$D$2:$D$290),IFERROR(_xlfn.XLOOKUP($A117,'Sucursales Empleado'!$A$2:$A$265,'Sucursales Empleado'!$B$2:$B$265),""))</f>
        <v>Parmessano Atlantis Bogota</v>
      </c>
    </row>
    <row r="118" spans="1:4" ht="20.100000000000001" customHeight="1" x14ac:dyDescent="0.45">
      <c r="A118" s="13">
        <v>7016718</v>
      </c>
      <c r="B118" s="11" t="s">
        <v>1252</v>
      </c>
      <c r="C118" s="11" t="s">
        <v>471</v>
      </c>
      <c r="D118" s="11" t="str">
        <f>IFERROR(_xlfn.XLOOKUP($A118&amp;"",Hoja1!$C$2:$C$290,Hoja1!$D$2:$D$290),IFERROR(_xlfn.XLOOKUP($A118,'Sucursales Empleado'!$A$2:$A$265,'Sucursales Empleado'!$B$2:$B$265),""))</f>
        <v>Parmessano Atlantis Bogota</v>
      </c>
    </row>
    <row r="119" spans="1:4" ht="20.100000000000001" hidden="1" customHeight="1" x14ac:dyDescent="0.45">
      <c r="A119" s="13">
        <v>7016718</v>
      </c>
      <c r="B119" s="11" t="s">
        <v>1254</v>
      </c>
      <c r="C119" s="11" t="s">
        <v>471</v>
      </c>
      <c r="D119" s="11" t="str">
        <f>IFERROR(_xlfn.XLOOKUP($A119&amp;"",Hoja1!$C$2:$C$290,Hoja1!$D$2:$D$290),IFERROR(_xlfn.XLOOKUP($A119,'Sucursales Empleado'!$A$2:$A$265,'Sucursales Empleado'!$B$2:$B$265),""))</f>
        <v>Parmessano Atlantis Bogota</v>
      </c>
    </row>
    <row r="120" spans="1:4" ht="20.100000000000001" hidden="1" customHeight="1" x14ac:dyDescent="0.45">
      <c r="A120" s="13">
        <v>7016718</v>
      </c>
      <c r="B120" s="11" t="s">
        <v>50</v>
      </c>
      <c r="C120" s="11" t="s">
        <v>471</v>
      </c>
      <c r="D120" s="11" t="str">
        <f>IFERROR(_xlfn.XLOOKUP($A120&amp;"",Hoja1!$C$2:$C$290,Hoja1!$D$2:$D$290),IFERROR(_xlfn.XLOOKUP($A120,'Sucursales Empleado'!$A$2:$A$265,'Sucursales Empleado'!$B$2:$B$265),""))</f>
        <v>Parmessano Atlantis Bogota</v>
      </c>
    </row>
    <row r="121" spans="1:4" ht="20.100000000000001" hidden="1" customHeight="1" x14ac:dyDescent="0.45">
      <c r="A121" s="13">
        <v>7016718</v>
      </c>
      <c r="B121" s="11" t="s">
        <v>51</v>
      </c>
      <c r="C121" s="11" t="s">
        <v>471</v>
      </c>
      <c r="D121" s="11" t="str">
        <f>IFERROR(_xlfn.XLOOKUP($A121&amp;"",Hoja1!$C$2:$C$290,Hoja1!$D$2:$D$290),IFERROR(_xlfn.XLOOKUP($A121,'Sucursales Empleado'!$A$2:$A$265,'Sucursales Empleado'!$B$2:$B$265),""))</f>
        <v>Parmessano Atlantis Bogota</v>
      </c>
    </row>
    <row r="122" spans="1:4" ht="20.100000000000001" hidden="1" customHeight="1" x14ac:dyDescent="0.45">
      <c r="A122" s="13">
        <v>774848</v>
      </c>
      <c r="B122" s="11" t="s">
        <v>53</v>
      </c>
      <c r="C122" s="11" t="s">
        <v>471</v>
      </c>
      <c r="D122" s="11" t="str">
        <f>IFERROR(_xlfn.XLOOKUP($A122&amp;"",Hoja1!$C$2:$C$290,Hoja1!$D$2:$D$290),IFERROR(_xlfn.XLOOKUP($A122,'Sucursales Empleado'!$A$2:$A$265,'Sucursales Empleado'!$B$2:$B$265),""))</f>
        <v>Parmessano Atlantis Bogota</v>
      </c>
    </row>
    <row r="123" spans="1:4" ht="20.100000000000001" customHeight="1" x14ac:dyDescent="0.45">
      <c r="A123" s="13">
        <v>774848</v>
      </c>
      <c r="B123" s="11" t="s">
        <v>1252</v>
      </c>
      <c r="C123" s="11" t="s">
        <v>471</v>
      </c>
      <c r="D123" s="11" t="str">
        <f>IFERROR(_xlfn.XLOOKUP($A123&amp;"",Hoja1!$C$2:$C$290,Hoja1!$D$2:$D$290),IFERROR(_xlfn.XLOOKUP($A123,'Sucursales Empleado'!$A$2:$A$265,'Sucursales Empleado'!$B$2:$B$265),""))</f>
        <v>Parmessano Atlantis Bogota</v>
      </c>
    </row>
    <row r="124" spans="1:4" ht="20.100000000000001" hidden="1" customHeight="1" x14ac:dyDescent="0.45">
      <c r="A124" s="13">
        <v>774848</v>
      </c>
      <c r="B124" s="11" t="s">
        <v>1254</v>
      </c>
      <c r="C124" s="11" t="s">
        <v>471</v>
      </c>
      <c r="D124" s="11" t="str">
        <f>IFERROR(_xlfn.XLOOKUP($A124&amp;"",Hoja1!$C$2:$C$290,Hoja1!$D$2:$D$290),IFERROR(_xlfn.XLOOKUP($A124,'Sucursales Empleado'!$A$2:$A$265,'Sucursales Empleado'!$B$2:$B$265),""))</f>
        <v>Parmessano Atlantis Bogota</v>
      </c>
    </row>
    <row r="125" spans="1:4" ht="20.100000000000001" hidden="1" customHeight="1" x14ac:dyDescent="0.45">
      <c r="A125" s="13">
        <v>774848</v>
      </c>
      <c r="B125" s="11" t="s">
        <v>50</v>
      </c>
      <c r="C125" s="11" t="s">
        <v>471</v>
      </c>
      <c r="D125" s="11" t="str">
        <f>IFERROR(_xlfn.XLOOKUP($A125&amp;"",Hoja1!$C$2:$C$290,Hoja1!$D$2:$D$290),IFERROR(_xlfn.XLOOKUP($A125,'Sucursales Empleado'!$A$2:$A$265,'Sucursales Empleado'!$B$2:$B$265),""))</f>
        <v>Parmessano Atlantis Bogota</v>
      </c>
    </row>
    <row r="126" spans="1:4" ht="20.100000000000001" hidden="1" customHeight="1" x14ac:dyDescent="0.45">
      <c r="A126" s="13">
        <v>774848</v>
      </c>
      <c r="B126" s="11" t="s">
        <v>51</v>
      </c>
      <c r="C126" s="11" t="s">
        <v>471</v>
      </c>
      <c r="D126" s="11" t="str">
        <f>IFERROR(_xlfn.XLOOKUP($A126&amp;"",Hoja1!$C$2:$C$290,Hoja1!$D$2:$D$290),IFERROR(_xlfn.XLOOKUP($A126,'Sucursales Empleado'!$A$2:$A$265,'Sucursales Empleado'!$B$2:$B$265),""))</f>
        <v>Parmessano Atlantis Bogota</v>
      </c>
    </row>
    <row r="127" spans="1:4" ht="20.100000000000001" hidden="1" customHeight="1" x14ac:dyDescent="0.45">
      <c r="A127" s="13">
        <v>1022444646</v>
      </c>
      <c r="B127" s="11" t="s">
        <v>37</v>
      </c>
      <c r="C127" s="11" t="s">
        <v>471</v>
      </c>
      <c r="D127" s="11" t="str">
        <f>IFERROR(_xlfn.XLOOKUP($A127&amp;"",Hoja1!$C$2:$C$290,Hoja1!$D$2:$D$290),IFERROR(_xlfn.XLOOKUP($A127,'Sucursales Empleado'!$A$2:$A$265,'Sucursales Empleado'!$B$2:$B$265),""))</f>
        <v>Parmessano Atlantis Bogota</v>
      </c>
    </row>
    <row r="128" spans="1:4" ht="20.100000000000001" hidden="1" customHeight="1" x14ac:dyDescent="0.45">
      <c r="A128" s="13">
        <v>1022444646</v>
      </c>
      <c r="B128" s="11" t="s">
        <v>39</v>
      </c>
      <c r="C128" s="11" t="s">
        <v>471</v>
      </c>
      <c r="D128" s="11" t="str">
        <f>IFERROR(_xlfn.XLOOKUP($A128&amp;"",Hoja1!$C$2:$C$290,Hoja1!$D$2:$D$290),IFERROR(_xlfn.XLOOKUP($A128,'Sucursales Empleado'!$A$2:$A$265,'Sucursales Empleado'!$B$2:$B$265),""))</f>
        <v>Parmessano Atlantis Bogota</v>
      </c>
    </row>
    <row r="129" spans="1:4" ht="20.100000000000001" hidden="1" customHeight="1" x14ac:dyDescent="0.45">
      <c r="A129" s="13">
        <v>1022444646</v>
      </c>
      <c r="B129" s="11" t="s">
        <v>40</v>
      </c>
      <c r="C129" s="11" t="s">
        <v>471</v>
      </c>
      <c r="D129" s="11" t="str">
        <f>IFERROR(_xlfn.XLOOKUP($A129&amp;"",Hoja1!$C$2:$C$290,Hoja1!$D$2:$D$290),IFERROR(_xlfn.XLOOKUP($A129,'Sucursales Empleado'!$A$2:$A$265,'Sucursales Empleado'!$B$2:$B$265),""))</f>
        <v>Parmessano Atlantis Bogota</v>
      </c>
    </row>
    <row r="130" spans="1:4" ht="20.100000000000001" hidden="1" customHeight="1" x14ac:dyDescent="0.45">
      <c r="A130" s="13">
        <v>1022444646</v>
      </c>
      <c r="B130" s="11" t="s">
        <v>41</v>
      </c>
      <c r="C130" s="11" t="s">
        <v>471</v>
      </c>
      <c r="D130" s="11" t="str">
        <f>IFERROR(_xlfn.XLOOKUP($A130&amp;"",Hoja1!$C$2:$C$290,Hoja1!$D$2:$D$290),IFERROR(_xlfn.XLOOKUP($A130,'Sucursales Empleado'!$A$2:$A$265,'Sucursales Empleado'!$B$2:$B$265),""))</f>
        <v>Parmessano Atlantis Bogota</v>
      </c>
    </row>
    <row r="131" spans="1:4" ht="20.100000000000001" hidden="1" customHeight="1" x14ac:dyDescent="0.45">
      <c r="A131" s="13">
        <v>1022444646</v>
      </c>
      <c r="B131" s="11" t="s">
        <v>42</v>
      </c>
      <c r="C131" s="11" t="s">
        <v>471</v>
      </c>
      <c r="D131" s="11" t="str">
        <f>IFERROR(_xlfn.XLOOKUP($A131&amp;"",Hoja1!$C$2:$C$290,Hoja1!$D$2:$D$290),IFERROR(_xlfn.XLOOKUP($A131,'Sucursales Empleado'!$A$2:$A$265,'Sucursales Empleado'!$B$2:$B$265),""))</f>
        <v>Parmessano Atlantis Bogota</v>
      </c>
    </row>
    <row r="132" spans="1:4" ht="20.100000000000001" hidden="1" customHeight="1" x14ac:dyDescent="0.45">
      <c r="A132" s="13">
        <v>1022444646</v>
      </c>
      <c r="B132" s="11" t="s">
        <v>1251</v>
      </c>
      <c r="C132" s="11" t="s">
        <v>471</v>
      </c>
      <c r="D132" s="11" t="str">
        <f>IFERROR(_xlfn.XLOOKUP($A132&amp;"",Hoja1!$C$2:$C$290,Hoja1!$D$2:$D$290),IFERROR(_xlfn.XLOOKUP($A132,'Sucursales Empleado'!$A$2:$A$265,'Sucursales Empleado'!$B$2:$B$265),""))</f>
        <v>Parmessano Atlantis Bogota</v>
      </c>
    </row>
    <row r="133" spans="1:4" ht="20.100000000000001" hidden="1" customHeight="1" x14ac:dyDescent="0.45">
      <c r="A133" s="13">
        <v>1022444646</v>
      </c>
      <c r="B133" s="11" t="s">
        <v>44</v>
      </c>
      <c r="C133" s="11" t="s">
        <v>471</v>
      </c>
      <c r="D133" s="11" t="str">
        <f>IFERROR(_xlfn.XLOOKUP($A133&amp;"",Hoja1!$C$2:$C$290,Hoja1!$D$2:$D$290),IFERROR(_xlfn.XLOOKUP($A133,'Sucursales Empleado'!$A$2:$A$265,'Sucursales Empleado'!$B$2:$B$265),""))</f>
        <v>Parmessano Atlantis Bogota</v>
      </c>
    </row>
    <row r="134" spans="1:4" ht="20.100000000000001" hidden="1" customHeight="1" x14ac:dyDescent="0.45">
      <c r="A134" s="13">
        <v>1022444646</v>
      </c>
      <c r="B134" s="11" t="s">
        <v>45</v>
      </c>
      <c r="C134" s="11" t="s">
        <v>471</v>
      </c>
      <c r="D134" s="11" t="str">
        <f>IFERROR(_xlfn.XLOOKUP($A134&amp;"",Hoja1!$C$2:$C$290,Hoja1!$D$2:$D$290),IFERROR(_xlfn.XLOOKUP($A134,'Sucursales Empleado'!$A$2:$A$265,'Sucursales Empleado'!$B$2:$B$265),""))</f>
        <v>Parmessano Atlantis Bogota</v>
      </c>
    </row>
    <row r="135" spans="1:4" ht="20.100000000000001" hidden="1" customHeight="1" x14ac:dyDescent="0.45">
      <c r="A135" s="13">
        <v>1122724152</v>
      </c>
      <c r="B135" s="11" t="s">
        <v>53</v>
      </c>
      <c r="C135" s="11" t="s">
        <v>471</v>
      </c>
      <c r="D135" s="11" t="str">
        <f>IFERROR(_xlfn.XLOOKUP($A135&amp;"",Hoja1!$C$2:$C$290,Hoja1!$D$2:$D$290),IFERROR(_xlfn.XLOOKUP($A135,'Sucursales Empleado'!$A$2:$A$265,'Sucursales Empleado'!$B$2:$B$265),""))</f>
        <v>Parmessano Atlantis Bogota</v>
      </c>
    </row>
    <row r="136" spans="1:4" ht="20.100000000000001" customHeight="1" x14ac:dyDescent="0.45">
      <c r="A136" s="13">
        <v>1122724152</v>
      </c>
      <c r="B136" s="11" t="s">
        <v>1252</v>
      </c>
      <c r="C136" s="11" t="s">
        <v>471</v>
      </c>
      <c r="D136" s="11" t="str">
        <f>IFERROR(_xlfn.XLOOKUP($A136&amp;"",Hoja1!$C$2:$C$290,Hoja1!$D$2:$D$290),IFERROR(_xlfn.XLOOKUP($A136,'Sucursales Empleado'!$A$2:$A$265,'Sucursales Empleado'!$B$2:$B$265),""))</f>
        <v>Parmessano Atlantis Bogota</v>
      </c>
    </row>
    <row r="137" spans="1:4" ht="20.100000000000001" hidden="1" customHeight="1" x14ac:dyDescent="0.45">
      <c r="A137" s="13">
        <v>1122724152</v>
      </c>
      <c r="B137" s="11" t="s">
        <v>1254</v>
      </c>
      <c r="C137" s="11" t="s">
        <v>471</v>
      </c>
      <c r="D137" s="11" t="str">
        <f>IFERROR(_xlfn.XLOOKUP($A137&amp;"",Hoja1!$C$2:$C$290,Hoja1!$D$2:$D$290),IFERROR(_xlfn.XLOOKUP($A137,'Sucursales Empleado'!$A$2:$A$265,'Sucursales Empleado'!$B$2:$B$265),""))</f>
        <v>Parmessano Atlantis Bogota</v>
      </c>
    </row>
    <row r="138" spans="1:4" ht="20.100000000000001" hidden="1" customHeight="1" x14ac:dyDescent="0.45">
      <c r="A138" s="13">
        <v>1122724152</v>
      </c>
      <c r="B138" s="11" t="s">
        <v>50</v>
      </c>
      <c r="C138" s="11" t="s">
        <v>471</v>
      </c>
      <c r="D138" s="11" t="str">
        <f>IFERROR(_xlfn.XLOOKUP($A138&amp;"",Hoja1!$C$2:$C$290,Hoja1!$D$2:$D$290),IFERROR(_xlfn.XLOOKUP($A138,'Sucursales Empleado'!$A$2:$A$265,'Sucursales Empleado'!$B$2:$B$265),""))</f>
        <v>Parmessano Atlantis Bogota</v>
      </c>
    </row>
    <row r="139" spans="1:4" ht="20.100000000000001" hidden="1" customHeight="1" x14ac:dyDescent="0.45">
      <c r="A139" s="13">
        <v>1122724152</v>
      </c>
      <c r="B139" s="11" t="s">
        <v>51</v>
      </c>
      <c r="C139" s="11" t="s">
        <v>471</v>
      </c>
      <c r="D139" s="11" t="str">
        <f>IFERROR(_xlfn.XLOOKUP($A139&amp;"",Hoja1!$C$2:$C$290,Hoja1!$D$2:$D$290),IFERROR(_xlfn.XLOOKUP($A139,'Sucursales Empleado'!$A$2:$A$265,'Sucursales Empleado'!$B$2:$B$265),""))</f>
        <v>Parmessano Atlantis Bogota</v>
      </c>
    </row>
    <row r="140" spans="1:4" ht="20.100000000000001" hidden="1" customHeight="1" x14ac:dyDescent="0.45">
      <c r="A140" s="13">
        <v>1054708319</v>
      </c>
      <c r="B140" s="11" t="s">
        <v>55</v>
      </c>
      <c r="C140" s="11" t="s">
        <v>471</v>
      </c>
      <c r="D140" s="11" t="str">
        <f>IFERROR(_xlfn.XLOOKUP($A140&amp;"",Hoja1!$C$2:$C$290,Hoja1!$D$2:$D$290),IFERROR(_xlfn.XLOOKUP($A140,'Sucursales Empleado'!$A$2:$A$265,'Sucursales Empleado'!$B$2:$B$265),""))</f>
        <v>Parmessano Atlantis Bogota</v>
      </c>
    </row>
    <row r="141" spans="1:4" ht="20.100000000000001" hidden="1" customHeight="1" x14ac:dyDescent="0.45">
      <c r="A141" s="3">
        <v>5034016</v>
      </c>
      <c r="B141" s="2" t="s">
        <v>42</v>
      </c>
      <c r="C141" s="2" t="s">
        <v>472</v>
      </c>
      <c r="D141" s="10" t="str">
        <f>IFERROR(_xlfn.XLOOKUP($A141&amp;"",Hoja1!$C$2:$C$253,Hoja1!$D$2:$D$253),IFERROR(_xlfn.XLOOKUP($A141,'Sucursales Empleado'!$A$2:$A$236,'Sucursales Empleado'!$B$2:$B$236),""))</f>
        <v>Parmessano Atrio</v>
      </c>
    </row>
    <row r="142" spans="1:4" ht="20.100000000000001" hidden="1" customHeight="1" x14ac:dyDescent="0.45">
      <c r="A142" s="3">
        <v>5034016</v>
      </c>
      <c r="B142" s="2" t="s">
        <v>40</v>
      </c>
      <c r="C142" s="2" t="s">
        <v>472</v>
      </c>
      <c r="D142" s="10" t="str">
        <f>IFERROR(_xlfn.XLOOKUP($A142&amp;"",Hoja1!$C$2:$C$253,Hoja1!$D$2:$D$253),IFERROR(_xlfn.XLOOKUP($A142,'Sucursales Empleado'!$A$2:$A$236,'Sucursales Empleado'!$B$2:$B$236),""))</f>
        <v>Parmessano Atrio</v>
      </c>
    </row>
    <row r="143" spans="1:4" ht="20.100000000000001" hidden="1" customHeight="1" x14ac:dyDescent="0.45">
      <c r="A143" s="3">
        <v>5034016</v>
      </c>
      <c r="B143" s="2" t="s">
        <v>41</v>
      </c>
      <c r="C143" s="2" t="s">
        <v>472</v>
      </c>
      <c r="D143" s="10" t="str">
        <f>IFERROR(_xlfn.XLOOKUP($A143&amp;"",Hoja1!$C$2:$C$253,Hoja1!$D$2:$D$253),IFERROR(_xlfn.XLOOKUP($A143,'Sucursales Empleado'!$A$2:$A$236,'Sucursales Empleado'!$B$2:$B$236),""))</f>
        <v>Parmessano Atrio</v>
      </c>
    </row>
    <row r="144" spans="1:4" ht="20.100000000000001" hidden="1" customHeight="1" x14ac:dyDescent="0.45">
      <c r="A144" s="3">
        <v>5034016</v>
      </c>
      <c r="B144" s="2" t="s">
        <v>1251</v>
      </c>
      <c r="C144" s="2" t="s">
        <v>472</v>
      </c>
      <c r="D144" s="10" t="str">
        <f>IFERROR(_xlfn.XLOOKUP($A144&amp;"",Hoja1!$C$2:$C$253,Hoja1!$D$2:$D$253),IFERROR(_xlfn.XLOOKUP($A144,'Sucursales Empleado'!$A$2:$A$236,'Sucursales Empleado'!$B$2:$B$236),""))</f>
        <v>Parmessano Atrio</v>
      </c>
    </row>
    <row r="145" spans="1:4" ht="20.100000000000001" hidden="1" customHeight="1" x14ac:dyDescent="0.45">
      <c r="A145" s="3">
        <v>5034016</v>
      </c>
      <c r="B145" s="2" t="s">
        <v>39</v>
      </c>
      <c r="C145" s="2" t="s">
        <v>472</v>
      </c>
      <c r="D145" s="10" t="str">
        <f>IFERROR(_xlfn.XLOOKUP($A145&amp;"",Hoja1!$C$2:$C$253,Hoja1!$D$2:$D$253),IFERROR(_xlfn.XLOOKUP($A145,'Sucursales Empleado'!$A$2:$A$236,'Sucursales Empleado'!$B$2:$B$236),""))</f>
        <v>Parmessano Atrio</v>
      </c>
    </row>
    <row r="146" spans="1:4" ht="20.100000000000001" hidden="1" customHeight="1" x14ac:dyDescent="0.45">
      <c r="A146" s="3">
        <v>5034016</v>
      </c>
      <c r="B146" s="2" t="s">
        <v>37</v>
      </c>
      <c r="C146" s="2" t="s">
        <v>472</v>
      </c>
      <c r="D146" s="10" t="str">
        <f>IFERROR(_xlfn.XLOOKUP($A146&amp;"",Hoja1!$C$2:$C$253,Hoja1!$D$2:$D$253),IFERROR(_xlfn.XLOOKUP($A146,'Sucursales Empleado'!$A$2:$A$236,'Sucursales Empleado'!$B$2:$B$236),""))</f>
        <v>Parmessano Atrio</v>
      </c>
    </row>
    <row r="147" spans="1:4" ht="20.100000000000001" hidden="1" customHeight="1" x14ac:dyDescent="0.45">
      <c r="A147" s="3">
        <v>5844757</v>
      </c>
      <c r="B147" s="2" t="s">
        <v>42</v>
      </c>
      <c r="C147" s="2" t="s">
        <v>473</v>
      </c>
      <c r="D147" s="10" t="str">
        <f>IFERROR(_xlfn.XLOOKUP($A147&amp;"",Hoja1!$C$2:$C$253,Hoja1!$D$2:$D$253),IFERROR(_xlfn.XLOOKUP($A147,'Sucursales Empleado'!$A$2:$A$236,'Sucursales Empleado'!$B$2:$B$236),""))</f>
        <v>Parmessano Atrio</v>
      </c>
    </row>
    <row r="148" spans="1:4" ht="20.100000000000001" hidden="1" customHeight="1" x14ac:dyDescent="0.45">
      <c r="A148" s="3">
        <v>5844757</v>
      </c>
      <c r="B148" s="2" t="s">
        <v>40</v>
      </c>
      <c r="C148" s="2" t="s">
        <v>473</v>
      </c>
      <c r="D148" s="10" t="str">
        <f>IFERROR(_xlfn.XLOOKUP($A148&amp;"",Hoja1!$C$2:$C$253,Hoja1!$D$2:$D$253),IFERROR(_xlfn.XLOOKUP($A148,'Sucursales Empleado'!$A$2:$A$236,'Sucursales Empleado'!$B$2:$B$236),""))</f>
        <v>Parmessano Atrio</v>
      </c>
    </row>
    <row r="149" spans="1:4" ht="20.100000000000001" hidden="1" customHeight="1" x14ac:dyDescent="0.45">
      <c r="A149" s="3">
        <v>5844757</v>
      </c>
      <c r="B149" s="2" t="s">
        <v>41</v>
      </c>
      <c r="C149" s="2" t="s">
        <v>472</v>
      </c>
      <c r="D149" s="10" t="str">
        <f>IFERROR(_xlfn.XLOOKUP($A149&amp;"",Hoja1!$C$2:$C$253,Hoja1!$D$2:$D$253),IFERROR(_xlfn.XLOOKUP($A149,'Sucursales Empleado'!$A$2:$A$236,'Sucursales Empleado'!$B$2:$B$236),""))</f>
        <v>Parmessano Atrio</v>
      </c>
    </row>
    <row r="150" spans="1:4" ht="20.100000000000001" hidden="1" customHeight="1" x14ac:dyDescent="0.45">
      <c r="A150" s="3">
        <v>5844757</v>
      </c>
      <c r="B150" s="2" t="s">
        <v>1251</v>
      </c>
      <c r="C150" s="2" t="s">
        <v>471</v>
      </c>
      <c r="D150" s="10" t="str">
        <f>IFERROR(_xlfn.XLOOKUP($A150&amp;"",Hoja1!$C$2:$C$253,Hoja1!$D$2:$D$253),IFERROR(_xlfn.XLOOKUP($A150,'Sucursales Empleado'!$A$2:$A$236,'Sucursales Empleado'!$B$2:$B$236),""))</f>
        <v>Parmessano Atrio</v>
      </c>
    </row>
    <row r="151" spans="1:4" ht="20.100000000000001" hidden="1" customHeight="1" x14ac:dyDescent="0.45">
      <c r="A151" s="3">
        <v>5844757</v>
      </c>
      <c r="B151" s="2" t="s">
        <v>39</v>
      </c>
      <c r="C151" s="2" t="s">
        <v>473</v>
      </c>
      <c r="D151" s="10" t="str">
        <f>IFERROR(_xlfn.XLOOKUP($A151&amp;"",Hoja1!$C$2:$C$253,Hoja1!$D$2:$D$253),IFERROR(_xlfn.XLOOKUP($A151,'Sucursales Empleado'!$A$2:$A$236,'Sucursales Empleado'!$B$2:$B$236),""))</f>
        <v>Parmessano Atrio</v>
      </c>
    </row>
    <row r="152" spans="1:4" ht="20.100000000000001" hidden="1" customHeight="1" x14ac:dyDescent="0.45">
      <c r="A152" s="3">
        <v>5844757</v>
      </c>
      <c r="B152" s="2" t="s">
        <v>37</v>
      </c>
      <c r="C152" s="2" t="s">
        <v>473</v>
      </c>
      <c r="D152" s="10" t="str">
        <f>IFERROR(_xlfn.XLOOKUP($A152&amp;"",Hoja1!$C$2:$C$253,Hoja1!$D$2:$D$253),IFERROR(_xlfn.XLOOKUP($A152,'Sucursales Empleado'!$A$2:$A$236,'Sucursales Empleado'!$B$2:$B$236),""))</f>
        <v>Parmessano Atrio</v>
      </c>
    </row>
    <row r="153" spans="1:4" ht="20.100000000000001" hidden="1" customHeight="1" x14ac:dyDescent="0.45">
      <c r="A153" s="3">
        <v>8865244</v>
      </c>
      <c r="B153" s="2" t="s">
        <v>42</v>
      </c>
      <c r="C153" s="2" t="s">
        <v>472</v>
      </c>
      <c r="D153" s="10" t="str">
        <f>IFERROR(_xlfn.XLOOKUP($A153&amp;"",Hoja1!$C$2:$C$253,Hoja1!$D$2:$D$253),IFERROR(_xlfn.XLOOKUP($A153,'Sucursales Empleado'!$A$2:$A$236,'Sucursales Empleado'!$B$2:$B$236),""))</f>
        <v>Parmessano Atrio</v>
      </c>
    </row>
    <row r="154" spans="1:4" ht="20.100000000000001" hidden="1" customHeight="1" x14ac:dyDescent="0.45">
      <c r="A154" s="3">
        <v>8865244</v>
      </c>
      <c r="B154" s="2" t="s">
        <v>40</v>
      </c>
      <c r="C154" s="2" t="s">
        <v>472</v>
      </c>
      <c r="D154" s="10" t="str">
        <f>IFERROR(_xlfn.XLOOKUP($A154&amp;"",Hoja1!$C$2:$C$253,Hoja1!$D$2:$D$253),IFERROR(_xlfn.XLOOKUP($A154,'Sucursales Empleado'!$A$2:$A$236,'Sucursales Empleado'!$B$2:$B$236),""))</f>
        <v>Parmessano Atrio</v>
      </c>
    </row>
    <row r="155" spans="1:4" ht="20.100000000000001" hidden="1" customHeight="1" x14ac:dyDescent="0.45">
      <c r="A155" s="3">
        <v>8865244</v>
      </c>
      <c r="B155" s="2" t="s">
        <v>41</v>
      </c>
      <c r="C155" s="2" t="s">
        <v>472</v>
      </c>
      <c r="D155" s="10" t="str">
        <f>IFERROR(_xlfn.XLOOKUP($A155&amp;"",Hoja1!$C$2:$C$253,Hoja1!$D$2:$D$253),IFERROR(_xlfn.XLOOKUP($A155,'Sucursales Empleado'!$A$2:$A$236,'Sucursales Empleado'!$B$2:$B$236),""))</f>
        <v>Parmessano Atrio</v>
      </c>
    </row>
    <row r="156" spans="1:4" ht="20.100000000000001" hidden="1" customHeight="1" x14ac:dyDescent="0.45">
      <c r="A156" s="3">
        <v>8865244</v>
      </c>
      <c r="B156" s="2" t="s">
        <v>1251</v>
      </c>
      <c r="C156" s="2" t="s">
        <v>473</v>
      </c>
      <c r="D156" s="10" t="str">
        <f>IFERROR(_xlfn.XLOOKUP($A156&amp;"",Hoja1!$C$2:$C$253,Hoja1!$D$2:$D$253),IFERROR(_xlfn.XLOOKUP($A156,'Sucursales Empleado'!$A$2:$A$236,'Sucursales Empleado'!$B$2:$B$236),""))</f>
        <v>Parmessano Atrio</v>
      </c>
    </row>
    <row r="157" spans="1:4" ht="20.100000000000001" hidden="1" customHeight="1" x14ac:dyDescent="0.45">
      <c r="A157" s="3">
        <v>8865244</v>
      </c>
      <c r="B157" s="2" t="s">
        <v>39</v>
      </c>
      <c r="C157" s="2" t="s">
        <v>473</v>
      </c>
      <c r="D157" s="10" t="str">
        <f>IFERROR(_xlfn.XLOOKUP($A157&amp;"",Hoja1!$C$2:$C$253,Hoja1!$D$2:$D$253),IFERROR(_xlfn.XLOOKUP($A157,'Sucursales Empleado'!$A$2:$A$236,'Sucursales Empleado'!$B$2:$B$236),""))</f>
        <v>Parmessano Atrio</v>
      </c>
    </row>
    <row r="158" spans="1:4" ht="20.100000000000001" hidden="1" customHeight="1" x14ac:dyDescent="0.45">
      <c r="A158" s="3">
        <v>8865244</v>
      </c>
      <c r="B158" s="2" t="s">
        <v>37</v>
      </c>
      <c r="C158" s="2" t="s">
        <v>473</v>
      </c>
      <c r="D158" s="10" t="str">
        <f>IFERROR(_xlfn.XLOOKUP($A158&amp;"",Hoja1!$C$2:$C$253,Hoja1!$D$2:$D$253),IFERROR(_xlfn.XLOOKUP($A158,'Sucursales Empleado'!$A$2:$A$236,'Sucursales Empleado'!$B$2:$B$236),""))</f>
        <v>Parmessano Atrio</v>
      </c>
    </row>
    <row r="159" spans="1:4" ht="20.100000000000001" hidden="1" customHeight="1" x14ac:dyDescent="0.45">
      <c r="A159" s="3">
        <v>36451606</v>
      </c>
      <c r="B159" s="2" t="s">
        <v>42</v>
      </c>
      <c r="C159" s="2" t="s">
        <v>472</v>
      </c>
      <c r="D159" s="10" t="str">
        <f>IFERROR(_xlfn.XLOOKUP($A159&amp;"",Hoja1!$C$2:$C$253,Hoja1!$D$2:$D$253),IFERROR(_xlfn.XLOOKUP($A159,'Sucursales Empleado'!$A$2:$A$236,'Sucursales Empleado'!$B$2:$B$236),""))</f>
        <v>Parmessano Atrio</v>
      </c>
    </row>
    <row r="160" spans="1:4" ht="20.100000000000001" hidden="1" customHeight="1" x14ac:dyDescent="0.45">
      <c r="A160" s="3">
        <v>36451606</v>
      </c>
      <c r="B160" s="2" t="s">
        <v>40</v>
      </c>
      <c r="C160" s="2" t="s">
        <v>473</v>
      </c>
      <c r="D160" s="10" t="str">
        <f>IFERROR(_xlfn.XLOOKUP($A160&amp;"",Hoja1!$C$2:$C$253,Hoja1!$D$2:$D$253),IFERROR(_xlfn.XLOOKUP($A160,'Sucursales Empleado'!$A$2:$A$236,'Sucursales Empleado'!$B$2:$B$236),""))</f>
        <v>Parmessano Atrio</v>
      </c>
    </row>
    <row r="161" spans="1:4" ht="20.100000000000001" hidden="1" customHeight="1" x14ac:dyDescent="0.45">
      <c r="A161" s="3">
        <v>36451606</v>
      </c>
      <c r="B161" s="2" t="s">
        <v>41</v>
      </c>
      <c r="C161" s="2" t="s">
        <v>473</v>
      </c>
      <c r="D161" s="10" t="str">
        <f>IFERROR(_xlfn.XLOOKUP($A161&amp;"",Hoja1!$C$2:$C$253,Hoja1!$D$2:$D$253),IFERROR(_xlfn.XLOOKUP($A161,'Sucursales Empleado'!$A$2:$A$236,'Sucursales Empleado'!$B$2:$B$236),""))</f>
        <v>Parmessano Atrio</v>
      </c>
    </row>
    <row r="162" spans="1:4" ht="20.100000000000001" hidden="1" customHeight="1" x14ac:dyDescent="0.45">
      <c r="A162" s="3">
        <v>36451606</v>
      </c>
      <c r="B162" s="2" t="s">
        <v>1251</v>
      </c>
      <c r="C162" s="2" t="s">
        <v>471</v>
      </c>
      <c r="D162" s="10" t="str">
        <f>IFERROR(_xlfn.XLOOKUP($A162&amp;"",Hoja1!$C$2:$C$253,Hoja1!$D$2:$D$253),IFERROR(_xlfn.XLOOKUP($A162,'Sucursales Empleado'!$A$2:$A$236,'Sucursales Empleado'!$B$2:$B$236),""))</f>
        <v>Parmessano Atrio</v>
      </c>
    </row>
    <row r="163" spans="1:4" ht="20.100000000000001" hidden="1" customHeight="1" x14ac:dyDescent="0.45">
      <c r="A163" s="3">
        <v>36451606</v>
      </c>
      <c r="B163" s="2" t="s">
        <v>39</v>
      </c>
      <c r="C163" s="2" t="s">
        <v>471</v>
      </c>
      <c r="D163" s="10" t="str">
        <f>IFERROR(_xlfn.XLOOKUP($A163&amp;"",Hoja1!$C$2:$C$253,Hoja1!$D$2:$D$253),IFERROR(_xlfn.XLOOKUP($A163,'Sucursales Empleado'!$A$2:$A$236,'Sucursales Empleado'!$B$2:$B$236),""))</f>
        <v>Parmessano Atrio</v>
      </c>
    </row>
    <row r="164" spans="1:4" ht="20.100000000000001" hidden="1" customHeight="1" x14ac:dyDescent="0.45">
      <c r="A164" s="3">
        <v>36451606</v>
      </c>
      <c r="B164" s="2" t="s">
        <v>37</v>
      </c>
      <c r="C164" s="2" t="s">
        <v>471</v>
      </c>
      <c r="D164" s="10" t="str">
        <f>IFERROR(_xlfn.XLOOKUP($A164&amp;"",Hoja1!$C$2:$C$253,Hoja1!$D$2:$D$253),IFERROR(_xlfn.XLOOKUP($A164,'Sucursales Empleado'!$A$2:$A$236,'Sucursales Empleado'!$B$2:$B$236),""))</f>
        <v>Parmessano Atrio</v>
      </c>
    </row>
    <row r="165" spans="1:4" ht="20.100000000000001" hidden="1" customHeight="1" x14ac:dyDescent="0.45">
      <c r="A165" s="3">
        <v>1001176185</v>
      </c>
      <c r="B165" s="2" t="s">
        <v>42</v>
      </c>
      <c r="C165" s="2" t="s">
        <v>472</v>
      </c>
      <c r="D165" s="10" t="str">
        <f>IFERROR(_xlfn.XLOOKUP($A165&amp;"",Hoja1!$C$2:$C$253,Hoja1!$D$2:$D$253),IFERROR(_xlfn.XLOOKUP($A165,'Sucursales Empleado'!$A$2:$A$236,'Sucursales Empleado'!$B$2:$B$236),""))</f>
        <v>Parmessano Atrio</v>
      </c>
    </row>
    <row r="166" spans="1:4" ht="20.100000000000001" hidden="1" customHeight="1" x14ac:dyDescent="0.45">
      <c r="A166" s="3">
        <v>1001176185</v>
      </c>
      <c r="B166" s="2" t="s">
        <v>40</v>
      </c>
      <c r="C166" s="2" t="s">
        <v>472</v>
      </c>
      <c r="D166" s="10" t="str">
        <f>IFERROR(_xlfn.XLOOKUP($A166&amp;"",Hoja1!$C$2:$C$253,Hoja1!$D$2:$D$253),IFERROR(_xlfn.XLOOKUP($A166,'Sucursales Empleado'!$A$2:$A$236,'Sucursales Empleado'!$B$2:$B$236),""))</f>
        <v>Parmessano Atrio</v>
      </c>
    </row>
    <row r="167" spans="1:4" ht="20.100000000000001" hidden="1" customHeight="1" x14ac:dyDescent="0.45">
      <c r="A167" s="3">
        <v>1001176185</v>
      </c>
      <c r="B167" s="2" t="s">
        <v>41</v>
      </c>
      <c r="C167" s="2" t="s">
        <v>472</v>
      </c>
      <c r="D167" s="10" t="str">
        <f>IFERROR(_xlfn.XLOOKUP($A167&amp;"",Hoja1!$C$2:$C$253,Hoja1!$D$2:$D$253),IFERROR(_xlfn.XLOOKUP($A167,'Sucursales Empleado'!$A$2:$A$236,'Sucursales Empleado'!$B$2:$B$236),""))</f>
        <v>Parmessano Atrio</v>
      </c>
    </row>
    <row r="168" spans="1:4" ht="20.100000000000001" hidden="1" customHeight="1" x14ac:dyDescent="0.45">
      <c r="A168" s="3">
        <v>1001176185</v>
      </c>
      <c r="B168" s="2" t="s">
        <v>1251</v>
      </c>
      <c r="C168" s="2" t="s">
        <v>473</v>
      </c>
      <c r="D168" s="10" t="str">
        <f>IFERROR(_xlfn.XLOOKUP($A168&amp;"",Hoja1!$C$2:$C$253,Hoja1!$D$2:$D$253),IFERROR(_xlfn.XLOOKUP($A168,'Sucursales Empleado'!$A$2:$A$236,'Sucursales Empleado'!$B$2:$B$236),""))</f>
        <v>Parmessano Atrio</v>
      </c>
    </row>
    <row r="169" spans="1:4" ht="20.100000000000001" hidden="1" customHeight="1" x14ac:dyDescent="0.45">
      <c r="A169" s="3">
        <v>1001176185</v>
      </c>
      <c r="B169" s="2" t="s">
        <v>39</v>
      </c>
      <c r="C169" s="2" t="s">
        <v>473</v>
      </c>
      <c r="D169" s="10" t="str">
        <f>IFERROR(_xlfn.XLOOKUP($A169&amp;"",Hoja1!$C$2:$C$253,Hoja1!$D$2:$D$253),IFERROR(_xlfn.XLOOKUP($A169,'Sucursales Empleado'!$A$2:$A$236,'Sucursales Empleado'!$B$2:$B$236),""))</f>
        <v>Parmessano Atrio</v>
      </c>
    </row>
    <row r="170" spans="1:4" ht="20.100000000000001" hidden="1" customHeight="1" x14ac:dyDescent="0.45">
      <c r="A170" s="3">
        <v>1001176185</v>
      </c>
      <c r="B170" s="2" t="s">
        <v>37</v>
      </c>
      <c r="C170" s="2" t="s">
        <v>472</v>
      </c>
      <c r="D170" s="10" t="str">
        <f>IFERROR(_xlfn.XLOOKUP($A170&amp;"",Hoja1!$C$2:$C$253,Hoja1!$D$2:$D$253),IFERROR(_xlfn.XLOOKUP($A170,'Sucursales Empleado'!$A$2:$A$236,'Sucursales Empleado'!$B$2:$B$236),""))</f>
        <v>Parmessano Atrio</v>
      </c>
    </row>
    <row r="171" spans="1:4" ht="20.100000000000001" hidden="1" customHeight="1" x14ac:dyDescent="0.45">
      <c r="A171" s="3">
        <v>1031806185</v>
      </c>
      <c r="B171" s="2" t="s">
        <v>42</v>
      </c>
      <c r="C171" s="2" t="s">
        <v>472</v>
      </c>
      <c r="D171" s="10" t="str">
        <f>IFERROR(_xlfn.XLOOKUP($A171&amp;"",Hoja1!$C$2:$C$253,Hoja1!$D$2:$D$253),IFERROR(_xlfn.XLOOKUP($A171,'Sucursales Empleado'!$A$2:$A$236,'Sucursales Empleado'!$B$2:$B$236),""))</f>
        <v>Parmessano Atrio</v>
      </c>
    </row>
    <row r="172" spans="1:4" ht="20.100000000000001" hidden="1" customHeight="1" x14ac:dyDescent="0.45">
      <c r="A172" s="3">
        <v>1031806185</v>
      </c>
      <c r="B172" s="2" t="s">
        <v>40</v>
      </c>
      <c r="C172" s="2" t="s">
        <v>472</v>
      </c>
      <c r="D172" s="10" t="str">
        <f>IFERROR(_xlfn.XLOOKUP($A172&amp;"",Hoja1!$C$2:$C$253,Hoja1!$D$2:$D$253),IFERROR(_xlfn.XLOOKUP($A172,'Sucursales Empleado'!$A$2:$A$236,'Sucursales Empleado'!$B$2:$B$236),""))</f>
        <v>Parmessano Atrio</v>
      </c>
    </row>
    <row r="173" spans="1:4" ht="20.100000000000001" hidden="1" customHeight="1" x14ac:dyDescent="0.45">
      <c r="A173" s="3">
        <v>1031806185</v>
      </c>
      <c r="B173" s="2" t="s">
        <v>41</v>
      </c>
      <c r="C173" s="2" t="s">
        <v>472</v>
      </c>
      <c r="D173" s="10" t="str">
        <f>IFERROR(_xlfn.XLOOKUP($A173&amp;"",Hoja1!$C$2:$C$253,Hoja1!$D$2:$D$253),IFERROR(_xlfn.XLOOKUP($A173,'Sucursales Empleado'!$A$2:$A$236,'Sucursales Empleado'!$B$2:$B$236),""))</f>
        <v>Parmessano Atrio</v>
      </c>
    </row>
    <row r="174" spans="1:4" ht="20.100000000000001" hidden="1" customHeight="1" x14ac:dyDescent="0.45">
      <c r="A174" s="3">
        <v>1031806185</v>
      </c>
      <c r="B174" s="2" t="s">
        <v>1251</v>
      </c>
      <c r="C174" s="2" t="s">
        <v>473</v>
      </c>
      <c r="D174" s="10" t="str">
        <f>IFERROR(_xlfn.XLOOKUP($A174&amp;"",Hoja1!$C$2:$C$253,Hoja1!$D$2:$D$253),IFERROR(_xlfn.XLOOKUP($A174,'Sucursales Empleado'!$A$2:$A$236,'Sucursales Empleado'!$B$2:$B$236),""))</f>
        <v>Parmessano Atrio</v>
      </c>
    </row>
    <row r="175" spans="1:4" ht="20.100000000000001" hidden="1" customHeight="1" x14ac:dyDescent="0.45">
      <c r="A175" s="3">
        <v>1031806185</v>
      </c>
      <c r="B175" s="2" t="s">
        <v>39</v>
      </c>
      <c r="C175" s="2" t="s">
        <v>473</v>
      </c>
      <c r="D175" s="10" t="str">
        <f>IFERROR(_xlfn.XLOOKUP($A175&amp;"",Hoja1!$C$2:$C$253,Hoja1!$D$2:$D$253),IFERROR(_xlfn.XLOOKUP($A175,'Sucursales Empleado'!$A$2:$A$236,'Sucursales Empleado'!$B$2:$B$236),""))</f>
        <v>Parmessano Atrio</v>
      </c>
    </row>
    <row r="176" spans="1:4" ht="20.100000000000001" hidden="1" customHeight="1" x14ac:dyDescent="0.45">
      <c r="A176" s="3">
        <v>1031806185</v>
      </c>
      <c r="B176" s="2" t="s">
        <v>37</v>
      </c>
      <c r="C176" s="2" t="s">
        <v>473</v>
      </c>
      <c r="D176" s="10" t="str">
        <f>IFERROR(_xlfn.XLOOKUP($A176&amp;"",Hoja1!$C$2:$C$253,Hoja1!$D$2:$D$253),IFERROR(_xlfn.XLOOKUP($A176,'Sucursales Empleado'!$A$2:$A$236,'Sucursales Empleado'!$B$2:$B$236),""))</f>
        <v>Parmessano Atrio</v>
      </c>
    </row>
    <row r="177" spans="1:4" ht="20.100000000000001" hidden="1" customHeight="1" x14ac:dyDescent="0.45">
      <c r="A177" s="3">
        <v>1063300351</v>
      </c>
      <c r="B177" s="2" t="s">
        <v>42</v>
      </c>
      <c r="C177" s="2" t="s">
        <v>472</v>
      </c>
      <c r="D177" s="10" t="str">
        <f>IFERROR(_xlfn.XLOOKUP($A177&amp;"",Hoja1!$C$2:$C$253,Hoja1!$D$2:$D$253),IFERROR(_xlfn.XLOOKUP($A177,'Sucursales Empleado'!$A$2:$A$236,'Sucursales Empleado'!$B$2:$B$236),""))</f>
        <v>Parmessano Atrio</v>
      </c>
    </row>
    <row r="178" spans="1:4" ht="20.100000000000001" hidden="1" customHeight="1" x14ac:dyDescent="0.45">
      <c r="A178" s="3">
        <v>1063300351</v>
      </c>
      <c r="B178" s="2" t="s">
        <v>40</v>
      </c>
      <c r="C178" s="2" t="s">
        <v>472</v>
      </c>
      <c r="D178" s="10" t="str">
        <f>IFERROR(_xlfn.XLOOKUP($A178&amp;"",Hoja1!$C$2:$C$253,Hoja1!$D$2:$D$253),IFERROR(_xlfn.XLOOKUP($A178,'Sucursales Empleado'!$A$2:$A$236,'Sucursales Empleado'!$B$2:$B$236),""))</f>
        <v>Parmessano Atrio</v>
      </c>
    </row>
    <row r="179" spans="1:4" ht="20.100000000000001" hidden="1" customHeight="1" x14ac:dyDescent="0.45">
      <c r="A179" s="3">
        <v>1063300351</v>
      </c>
      <c r="B179" s="2" t="s">
        <v>41</v>
      </c>
      <c r="C179" s="2" t="s">
        <v>472</v>
      </c>
      <c r="D179" s="10" t="str">
        <f>IFERROR(_xlfn.XLOOKUP($A179&amp;"",Hoja1!$C$2:$C$253,Hoja1!$D$2:$D$253),IFERROR(_xlfn.XLOOKUP($A179,'Sucursales Empleado'!$A$2:$A$236,'Sucursales Empleado'!$B$2:$B$236),""))</f>
        <v>Parmessano Atrio</v>
      </c>
    </row>
    <row r="180" spans="1:4" ht="20.100000000000001" hidden="1" customHeight="1" x14ac:dyDescent="0.45">
      <c r="A180" s="3">
        <v>1063300351</v>
      </c>
      <c r="B180" s="2" t="s">
        <v>1251</v>
      </c>
      <c r="C180" s="2" t="s">
        <v>473</v>
      </c>
      <c r="D180" s="10" t="str">
        <f>IFERROR(_xlfn.XLOOKUP($A180&amp;"",Hoja1!$C$2:$C$253,Hoja1!$D$2:$D$253),IFERROR(_xlfn.XLOOKUP($A180,'Sucursales Empleado'!$A$2:$A$236,'Sucursales Empleado'!$B$2:$B$236),""))</f>
        <v>Parmessano Atrio</v>
      </c>
    </row>
    <row r="181" spans="1:4" ht="20.100000000000001" hidden="1" customHeight="1" x14ac:dyDescent="0.45">
      <c r="A181" s="3">
        <v>1063300351</v>
      </c>
      <c r="B181" s="2" t="s">
        <v>39</v>
      </c>
      <c r="C181" s="2" t="s">
        <v>472</v>
      </c>
      <c r="D181" s="10" t="str">
        <f>IFERROR(_xlfn.XLOOKUP($A181&amp;"",Hoja1!$C$2:$C$253,Hoja1!$D$2:$D$253),IFERROR(_xlfn.XLOOKUP($A181,'Sucursales Empleado'!$A$2:$A$236,'Sucursales Empleado'!$B$2:$B$236),""))</f>
        <v>Parmessano Atrio</v>
      </c>
    </row>
    <row r="182" spans="1:4" ht="20.100000000000001" hidden="1" customHeight="1" x14ac:dyDescent="0.45">
      <c r="A182" s="3">
        <v>1063300351</v>
      </c>
      <c r="B182" s="2" t="s">
        <v>37</v>
      </c>
      <c r="C182" s="2" t="s">
        <v>472</v>
      </c>
      <c r="D182" s="10" t="str">
        <f>IFERROR(_xlfn.XLOOKUP($A182&amp;"",Hoja1!$C$2:$C$253,Hoja1!$D$2:$D$253),IFERROR(_xlfn.XLOOKUP($A182,'Sucursales Empleado'!$A$2:$A$236,'Sucursales Empleado'!$B$2:$B$236),""))</f>
        <v>Parmessano Atrio</v>
      </c>
    </row>
    <row r="183" spans="1:4" ht="20.100000000000001" hidden="1" customHeight="1" x14ac:dyDescent="0.45">
      <c r="A183" s="3">
        <v>1117492302</v>
      </c>
      <c r="B183" s="2" t="s">
        <v>42</v>
      </c>
      <c r="C183" s="2" t="s">
        <v>473</v>
      </c>
      <c r="D183" s="10" t="str">
        <f>IFERROR(_xlfn.XLOOKUP($A183&amp;"",Hoja1!$C$2:$C$253,Hoja1!$D$2:$D$253),IFERROR(_xlfn.XLOOKUP($A183,'Sucursales Empleado'!$A$2:$A$236,'Sucursales Empleado'!$B$2:$B$236),""))</f>
        <v>Parmessano Atrio</v>
      </c>
    </row>
    <row r="184" spans="1:4" ht="20.100000000000001" hidden="1" customHeight="1" x14ac:dyDescent="0.45">
      <c r="A184" s="3">
        <v>1117492302</v>
      </c>
      <c r="B184" s="2" t="s">
        <v>40</v>
      </c>
      <c r="C184" s="2" t="s">
        <v>473</v>
      </c>
      <c r="D184" s="10" t="str">
        <f>IFERROR(_xlfn.XLOOKUP($A184&amp;"",Hoja1!$C$2:$C$253,Hoja1!$D$2:$D$253),IFERROR(_xlfn.XLOOKUP($A184,'Sucursales Empleado'!$A$2:$A$236,'Sucursales Empleado'!$B$2:$B$236),""))</f>
        <v>Parmessano Atrio</v>
      </c>
    </row>
    <row r="185" spans="1:4" ht="20.100000000000001" hidden="1" customHeight="1" x14ac:dyDescent="0.45">
      <c r="A185" s="3">
        <v>1117492302</v>
      </c>
      <c r="B185" s="2" t="s">
        <v>41</v>
      </c>
      <c r="C185" s="2" t="s">
        <v>473</v>
      </c>
      <c r="D185" s="10" t="str">
        <f>IFERROR(_xlfn.XLOOKUP($A185&amp;"",Hoja1!$C$2:$C$253,Hoja1!$D$2:$D$253),IFERROR(_xlfn.XLOOKUP($A185,'Sucursales Empleado'!$A$2:$A$236,'Sucursales Empleado'!$B$2:$B$236),""))</f>
        <v>Parmessano Atrio</v>
      </c>
    </row>
    <row r="186" spans="1:4" ht="20.100000000000001" hidden="1" customHeight="1" x14ac:dyDescent="0.45">
      <c r="A186" s="3">
        <v>1117492302</v>
      </c>
      <c r="B186" s="2" t="s">
        <v>1251</v>
      </c>
      <c r="C186" s="2" t="s">
        <v>471</v>
      </c>
      <c r="D186" s="10" t="str">
        <f>IFERROR(_xlfn.XLOOKUP($A186&amp;"",Hoja1!$C$2:$C$253,Hoja1!$D$2:$D$253),IFERROR(_xlfn.XLOOKUP($A186,'Sucursales Empleado'!$A$2:$A$236,'Sucursales Empleado'!$B$2:$B$236),""))</f>
        <v>Parmessano Atrio</v>
      </c>
    </row>
    <row r="187" spans="1:4" ht="20.100000000000001" hidden="1" customHeight="1" x14ac:dyDescent="0.45">
      <c r="A187" s="3">
        <v>1117492302</v>
      </c>
      <c r="B187" s="2" t="s">
        <v>39</v>
      </c>
      <c r="C187" s="2" t="s">
        <v>473</v>
      </c>
      <c r="D187" s="10" t="str">
        <f>IFERROR(_xlfn.XLOOKUP($A187&amp;"",Hoja1!$C$2:$C$253,Hoja1!$D$2:$D$253),IFERROR(_xlfn.XLOOKUP($A187,'Sucursales Empleado'!$A$2:$A$236,'Sucursales Empleado'!$B$2:$B$236),""))</f>
        <v>Parmessano Atrio</v>
      </c>
    </row>
    <row r="188" spans="1:4" ht="20.100000000000001" hidden="1" customHeight="1" x14ac:dyDescent="0.45">
      <c r="A188" s="3">
        <v>1117492302</v>
      </c>
      <c r="B188" s="2" t="s">
        <v>37</v>
      </c>
      <c r="C188" s="2" t="s">
        <v>471</v>
      </c>
      <c r="D188" s="10" t="str">
        <f>IFERROR(_xlfn.XLOOKUP($A188&amp;"",Hoja1!$C$2:$C$253,Hoja1!$D$2:$D$253),IFERROR(_xlfn.XLOOKUP($A188,'Sucursales Empleado'!$A$2:$A$236,'Sucursales Empleado'!$B$2:$B$236),""))</f>
        <v>Parmessano Atrio</v>
      </c>
    </row>
    <row r="189" spans="1:4" ht="20.100000000000001" hidden="1" customHeight="1" x14ac:dyDescent="0.45">
      <c r="A189" s="3">
        <v>1020816666</v>
      </c>
      <c r="B189" s="2" t="s">
        <v>42</v>
      </c>
      <c r="C189" s="2" t="s">
        <v>471</v>
      </c>
      <c r="D189" s="10" t="str">
        <f>IFERROR(_xlfn.XLOOKUP($A189&amp;"",Hoja1!$C$2:$C$253,Hoja1!$D$2:$D$253),IFERROR(_xlfn.XLOOKUP($A189,'Sucursales Empleado'!$A$2:$A$236,'Sucursales Empleado'!$B$2:$B$236),""))</f>
        <v>Parmessano Atrio</v>
      </c>
    </row>
    <row r="190" spans="1:4" ht="20.100000000000001" hidden="1" customHeight="1" x14ac:dyDescent="0.45">
      <c r="A190" s="3">
        <v>1020816666</v>
      </c>
      <c r="B190" s="2" t="s">
        <v>40</v>
      </c>
      <c r="C190" s="2" t="s">
        <v>471</v>
      </c>
      <c r="D190" s="10" t="str">
        <f>IFERROR(_xlfn.XLOOKUP($A190&amp;"",Hoja1!$C$2:$C$253,Hoja1!$D$2:$D$253),IFERROR(_xlfn.XLOOKUP($A190,'Sucursales Empleado'!$A$2:$A$236,'Sucursales Empleado'!$B$2:$B$236),""))</f>
        <v>Parmessano Atrio</v>
      </c>
    </row>
    <row r="191" spans="1:4" ht="20.100000000000001" hidden="1" customHeight="1" x14ac:dyDescent="0.45">
      <c r="A191" s="3">
        <v>1020816666</v>
      </c>
      <c r="B191" s="2" t="s">
        <v>41</v>
      </c>
      <c r="C191" s="2" t="s">
        <v>471</v>
      </c>
      <c r="D191" s="10" t="str">
        <f>IFERROR(_xlfn.XLOOKUP($A191&amp;"",Hoja1!$C$2:$C$253,Hoja1!$D$2:$D$253),IFERROR(_xlfn.XLOOKUP($A191,'Sucursales Empleado'!$A$2:$A$236,'Sucursales Empleado'!$B$2:$B$236),""))</f>
        <v>Parmessano Atrio</v>
      </c>
    </row>
    <row r="192" spans="1:4" ht="20.100000000000001" hidden="1" customHeight="1" x14ac:dyDescent="0.45">
      <c r="A192" s="3">
        <v>1020816666</v>
      </c>
      <c r="B192" s="2" t="s">
        <v>1251</v>
      </c>
      <c r="C192" s="2" t="s">
        <v>471</v>
      </c>
      <c r="D192" s="10" t="str">
        <f>IFERROR(_xlfn.XLOOKUP($A192&amp;"",Hoja1!$C$2:$C$253,Hoja1!$D$2:$D$253),IFERROR(_xlfn.XLOOKUP($A192,'Sucursales Empleado'!$A$2:$A$236,'Sucursales Empleado'!$B$2:$B$236),""))</f>
        <v>Parmessano Atrio</v>
      </c>
    </row>
    <row r="193" spans="1:4" ht="20.100000000000001" hidden="1" customHeight="1" x14ac:dyDescent="0.45">
      <c r="A193" s="3">
        <v>1020816666</v>
      </c>
      <c r="B193" s="2" t="s">
        <v>39</v>
      </c>
      <c r="C193" s="2" t="s">
        <v>471</v>
      </c>
      <c r="D193" s="10" t="str">
        <f>IFERROR(_xlfn.XLOOKUP($A193&amp;"",Hoja1!$C$2:$C$253,Hoja1!$D$2:$D$253),IFERROR(_xlfn.XLOOKUP($A193,'Sucursales Empleado'!$A$2:$A$236,'Sucursales Empleado'!$B$2:$B$236),""))</f>
        <v>Parmessano Atrio</v>
      </c>
    </row>
    <row r="194" spans="1:4" ht="20.100000000000001" hidden="1" customHeight="1" x14ac:dyDescent="0.45">
      <c r="A194" s="3">
        <v>1020816666</v>
      </c>
      <c r="B194" s="2" t="s">
        <v>37</v>
      </c>
      <c r="C194" s="2" t="s">
        <v>471</v>
      </c>
      <c r="D194" s="10" t="str">
        <f>IFERROR(_xlfn.XLOOKUP($A194&amp;"",Hoja1!$C$2:$C$253,Hoja1!$D$2:$D$253),IFERROR(_xlfn.XLOOKUP($A194,'Sucursales Empleado'!$A$2:$A$236,'Sucursales Empleado'!$B$2:$B$236),""))</f>
        <v>Parmessano Atrio</v>
      </c>
    </row>
    <row r="195" spans="1:4" ht="20.100000000000001" hidden="1" customHeight="1" x14ac:dyDescent="0.45">
      <c r="A195" s="3">
        <v>1193547331</v>
      </c>
      <c r="B195" s="2" t="s">
        <v>42</v>
      </c>
      <c r="C195" s="2" t="s">
        <v>472</v>
      </c>
      <c r="D195" s="10" t="str">
        <f>IFERROR(_xlfn.XLOOKUP($A195&amp;"",Hoja1!$C$2:$C$253,Hoja1!$D$2:$D$253),IFERROR(_xlfn.XLOOKUP($A195,'Sucursales Empleado'!$A$2:$A$236,'Sucursales Empleado'!$B$2:$B$236),""))</f>
        <v>Parmessano Atrio</v>
      </c>
    </row>
    <row r="196" spans="1:4" ht="20.100000000000001" hidden="1" customHeight="1" x14ac:dyDescent="0.45">
      <c r="A196" s="3">
        <v>1193547331</v>
      </c>
      <c r="B196" s="2" t="s">
        <v>40</v>
      </c>
      <c r="C196" s="2" t="s">
        <v>471</v>
      </c>
      <c r="D196" s="10" t="str">
        <f>IFERROR(_xlfn.XLOOKUP($A196&amp;"",Hoja1!$C$2:$C$253,Hoja1!$D$2:$D$253),IFERROR(_xlfn.XLOOKUP($A196,'Sucursales Empleado'!$A$2:$A$236,'Sucursales Empleado'!$B$2:$B$236),""))</f>
        <v>Parmessano Atrio</v>
      </c>
    </row>
    <row r="197" spans="1:4" ht="20.100000000000001" hidden="1" customHeight="1" x14ac:dyDescent="0.45">
      <c r="A197" s="3">
        <v>1193547331</v>
      </c>
      <c r="B197" s="2" t="s">
        <v>41</v>
      </c>
      <c r="C197" s="2" t="s">
        <v>473</v>
      </c>
      <c r="D197" s="10" t="str">
        <f>IFERROR(_xlfn.XLOOKUP($A197&amp;"",Hoja1!$C$2:$C$253,Hoja1!$D$2:$D$253),IFERROR(_xlfn.XLOOKUP($A197,'Sucursales Empleado'!$A$2:$A$236,'Sucursales Empleado'!$B$2:$B$236),""))</f>
        <v>Parmessano Atrio</v>
      </c>
    </row>
    <row r="198" spans="1:4" ht="20.100000000000001" hidden="1" customHeight="1" x14ac:dyDescent="0.45">
      <c r="A198" s="3">
        <v>1193547331</v>
      </c>
      <c r="B198" s="2" t="s">
        <v>1251</v>
      </c>
      <c r="C198" s="2" t="s">
        <v>471</v>
      </c>
      <c r="D198" s="10" t="str">
        <f>IFERROR(_xlfn.XLOOKUP($A198&amp;"",Hoja1!$C$2:$C$253,Hoja1!$D$2:$D$253),IFERROR(_xlfn.XLOOKUP($A198,'Sucursales Empleado'!$A$2:$A$236,'Sucursales Empleado'!$B$2:$B$236),""))</f>
        <v>Parmessano Atrio</v>
      </c>
    </row>
    <row r="199" spans="1:4" ht="20.100000000000001" hidden="1" customHeight="1" x14ac:dyDescent="0.45">
      <c r="A199" s="3">
        <v>1193547331</v>
      </c>
      <c r="B199" s="2" t="s">
        <v>39</v>
      </c>
      <c r="C199" s="2" t="s">
        <v>471</v>
      </c>
      <c r="D199" s="10" t="str">
        <f>IFERROR(_xlfn.XLOOKUP($A199&amp;"",Hoja1!$C$2:$C$253,Hoja1!$D$2:$D$253),IFERROR(_xlfn.XLOOKUP($A199,'Sucursales Empleado'!$A$2:$A$236,'Sucursales Empleado'!$B$2:$B$236),""))</f>
        <v>Parmessano Atrio</v>
      </c>
    </row>
    <row r="200" spans="1:4" ht="20.100000000000001" hidden="1" customHeight="1" x14ac:dyDescent="0.45">
      <c r="A200" s="3">
        <v>1193547331</v>
      </c>
      <c r="B200" s="2" t="s">
        <v>37</v>
      </c>
      <c r="C200" s="2" t="s">
        <v>471</v>
      </c>
      <c r="D200" s="10" t="str">
        <f>IFERROR(_xlfn.XLOOKUP($A200&amp;"",Hoja1!$C$2:$C$253,Hoja1!$D$2:$D$253),IFERROR(_xlfn.XLOOKUP($A200,'Sucursales Empleado'!$A$2:$A$236,'Sucursales Empleado'!$B$2:$B$236),""))</f>
        <v>Parmessano Atrio</v>
      </c>
    </row>
    <row r="201" spans="1:4" ht="20.100000000000001" hidden="1" customHeight="1" x14ac:dyDescent="0.45">
      <c r="A201" s="3">
        <v>1074130614</v>
      </c>
      <c r="B201" s="2" t="s">
        <v>53</v>
      </c>
      <c r="C201" s="2" t="s">
        <v>472</v>
      </c>
      <c r="D201" s="10" t="str">
        <f>IFERROR(_xlfn.XLOOKUP($A201&amp;"",Hoja1!$C$2:$C$253,Hoja1!$D$2:$D$253),IFERROR(_xlfn.XLOOKUP($A201,'Sucursales Empleado'!$A$2:$A$236,'Sucursales Empleado'!$B$2:$B$236),""))</f>
        <v>Parmessano Atrio</v>
      </c>
    </row>
    <row r="202" spans="1:4" ht="20.100000000000001" hidden="1" customHeight="1" x14ac:dyDescent="0.45">
      <c r="A202" s="3">
        <v>1074130614</v>
      </c>
      <c r="B202" s="2" t="s">
        <v>1251</v>
      </c>
      <c r="C202" s="2" t="s">
        <v>472</v>
      </c>
      <c r="D202" s="10" t="str">
        <f>IFERROR(_xlfn.XLOOKUP($A202&amp;"",Hoja1!$C$2:$C$253,Hoja1!$D$2:$D$253),IFERROR(_xlfn.XLOOKUP($A202,'Sucursales Empleado'!$A$2:$A$236,'Sucursales Empleado'!$B$2:$B$236),""))</f>
        <v>Parmessano Atrio</v>
      </c>
    </row>
    <row r="203" spans="1:4" ht="20.100000000000001" hidden="1" customHeight="1" x14ac:dyDescent="0.45">
      <c r="A203" s="3">
        <v>1074130614</v>
      </c>
      <c r="B203" s="2" t="s">
        <v>1253</v>
      </c>
      <c r="C203" s="2" t="s">
        <v>472</v>
      </c>
      <c r="D203" s="10" t="str">
        <f>IFERROR(_xlfn.XLOOKUP($A203&amp;"",Hoja1!$C$2:$C$253,Hoja1!$D$2:$D$253),IFERROR(_xlfn.XLOOKUP($A203,'Sucursales Empleado'!$A$2:$A$236,'Sucursales Empleado'!$B$2:$B$236),""))</f>
        <v>Parmessano Atrio</v>
      </c>
    </row>
    <row r="204" spans="1:4" ht="20.100000000000001" hidden="1" customHeight="1" x14ac:dyDescent="0.45">
      <c r="A204" s="3">
        <v>1023928378</v>
      </c>
      <c r="B204" s="2" t="s">
        <v>47</v>
      </c>
      <c r="C204" s="2" t="s">
        <v>472</v>
      </c>
      <c r="D204" s="10" t="str">
        <f>IFERROR(_xlfn.XLOOKUP($A204&amp;"",Hoja1!$C$2:$C$253,Hoja1!$D$2:$D$253),IFERROR(_xlfn.XLOOKUP($A204,'Sucursales Empleado'!$A$2:$A$236,'Sucursales Empleado'!$B$2:$B$236),""))</f>
        <v>Parmessano Atrio</v>
      </c>
    </row>
    <row r="205" spans="1:4" ht="20.100000000000001" hidden="1" customHeight="1" x14ac:dyDescent="0.45">
      <c r="A205" s="3">
        <v>1023928378</v>
      </c>
      <c r="B205" s="2" t="s">
        <v>48</v>
      </c>
      <c r="C205" s="2" t="s">
        <v>472</v>
      </c>
      <c r="D205" s="10" t="str">
        <f>IFERROR(_xlfn.XLOOKUP($A205&amp;"",Hoja1!$C$2:$C$253,Hoja1!$D$2:$D$253),IFERROR(_xlfn.XLOOKUP($A205,'Sucursales Empleado'!$A$2:$A$236,'Sucursales Empleado'!$B$2:$B$236),""))</f>
        <v>Parmessano Atrio</v>
      </c>
    </row>
    <row r="206" spans="1:4" ht="20.100000000000001" hidden="1" customHeight="1" x14ac:dyDescent="0.45">
      <c r="A206" s="3">
        <v>1001885355</v>
      </c>
      <c r="B206" s="2" t="s">
        <v>50</v>
      </c>
      <c r="C206" s="2" t="s">
        <v>472</v>
      </c>
      <c r="D206" s="10" t="str">
        <f>IFERROR(_xlfn.XLOOKUP($A206&amp;"",Hoja1!$C$2:$C$253,Hoja1!$D$2:$D$253),IFERROR(_xlfn.XLOOKUP($A206,'Sucursales Empleado'!$A$2:$A$236,'Sucursales Empleado'!$B$2:$B$236),""))</f>
        <v>Parmessano Atrio</v>
      </c>
    </row>
    <row r="207" spans="1:4" ht="20.100000000000001" hidden="1" customHeight="1" x14ac:dyDescent="0.45">
      <c r="A207" s="3">
        <v>1001885355</v>
      </c>
      <c r="B207" s="2" t="s">
        <v>1254</v>
      </c>
      <c r="C207" s="2" t="s">
        <v>472</v>
      </c>
      <c r="D207" s="10" t="str">
        <f>IFERROR(_xlfn.XLOOKUP($A207&amp;"",Hoja1!$C$2:$C$253,Hoja1!$D$2:$D$253),IFERROR(_xlfn.XLOOKUP($A207,'Sucursales Empleado'!$A$2:$A$236,'Sucursales Empleado'!$B$2:$B$236),""))</f>
        <v>Parmessano Atrio</v>
      </c>
    </row>
    <row r="208" spans="1:4" ht="20.100000000000001" hidden="1" customHeight="1" x14ac:dyDescent="0.45">
      <c r="A208" s="3">
        <v>1001885355</v>
      </c>
      <c r="B208" s="2" t="s">
        <v>51</v>
      </c>
      <c r="C208" s="2" t="s">
        <v>472</v>
      </c>
      <c r="D208" s="10" t="str">
        <f>IFERROR(_xlfn.XLOOKUP($A208&amp;"",Hoja1!$C$2:$C$253,Hoja1!$D$2:$D$253),IFERROR(_xlfn.XLOOKUP($A208,'Sucursales Empleado'!$A$2:$A$236,'Sucursales Empleado'!$B$2:$B$236),""))</f>
        <v>Parmessano Atrio</v>
      </c>
    </row>
    <row r="209" spans="1:4" ht="20.100000000000001" hidden="1" customHeight="1" x14ac:dyDescent="0.45">
      <c r="A209" s="3">
        <v>1052963640</v>
      </c>
      <c r="B209" s="2" t="s">
        <v>50</v>
      </c>
      <c r="C209" s="2" t="s">
        <v>472</v>
      </c>
      <c r="D209" s="10" t="str">
        <f>IFERROR(_xlfn.XLOOKUP($A209&amp;"",Hoja1!$C$2:$C$253,Hoja1!$D$2:$D$253),IFERROR(_xlfn.XLOOKUP($A209,'Sucursales Empleado'!$A$2:$A$236,'Sucursales Empleado'!$B$2:$B$236),""))</f>
        <v>Parmessano Atrio</v>
      </c>
    </row>
    <row r="210" spans="1:4" ht="20.100000000000001" hidden="1" customHeight="1" x14ac:dyDescent="0.45">
      <c r="A210" s="3">
        <v>1052963640</v>
      </c>
      <c r="B210" s="2" t="s">
        <v>1254</v>
      </c>
      <c r="C210" s="2" t="s">
        <v>472</v>
      </c>
      <c r="D210" s="10" t="str">
        <f>IFERROR(_xlfn.XLOOKUP($A210&amp;"",Hoja1!$C$2:$C$253,Hoja1!$D$2:$D$253),IFERROR(_xlfn.XLOOKUP($A210,'Sucursales Empleado'!$A$2:$A$236,'Sucursales Empleado'!$B$2:$B$236),""))</f>
        <v>Parmessano Atrio</v>
      </c>
    </row>
    <row r="211" spans="1:4" ht="20.100000000000001" hidden="1" customHeight="1" x14ac:dyDescent="0.45">
      <c r="A211" s="3">
        <v>1052963640</v>
      </c>
      <c r="B211" s="2" t="s">
        <v>51</v>
      </c>
      <c r="C211" s="2" t="s">
        <v>472</v>
      </c>
      <c r="D211" s="10" t="str">
        <f>IFERROR(_xlfn.XLOOKUP($A211&amp;"",Hoja1!$C$2:$C$253,Hoja1!$D$2:$D$253),IFERROR(_xlfn.XLOOKUP($A211,'Sucursales Empleado'!$A$2:$A$236,'Sucursales Empleado'!$B$2:$B$236),""))</f>
        <v>Parmessano Atrio</v>
      </c>
    </row>
    <row r="212" spans="1:4" ht="20.100000000000001" hidden="1" customHeight="1" x14ac:dyDescent="0.45">
      <c r="A212" s="3">
        <v>5152122</v>
      </c>
      <c r="B212" s="2" t="s">
        <v>50</v>
      </c>
      <c r="C212" s="2" t="s">
        <v>472</v>
      </c>
      <c r="D212" s="10" t="str">
        <f>IFERROR(_xlfn.XLOOKUP($A212&amp;"",Hoja1!$C$2:$C$253,Hoja1!$D$2:$D$253),IFERROR(_xlfn.XLOOKUP($A212,'Sucursales Empleado'!$A$2:$A$236,'Sucursales Empleado'!$B$2:$B$236),""))</f>
        <v>Parmessano Atrio</v>
      </c>
    </row>
    <row r="213" spans="1:4" ht="20.100000000000001" hidden="1" customHeight="1" x14ac:dyDescent="0.45">
      <c r="A213" s="3">
        <v>5152122</v>
      </c>
      <c r="B213" s="2" t="s">
        <v>1254</v>
      </c>
      <c r="C213" s="2" t="s">
        <v>472</v>
      </c>
      <c r="D213" s="10" t="str">
        <f>IFERROR(_xlfn.XLOOKUP($A213&amp;"",Hoja1!$C$2:$C$253,Hoja1!$D$2:$D$253),IFERROR(_xlfn.XLOOKUP($A213,'Sucursales Empleado'!$A$2:$A$236,'Sucursales Empleado'!$B$2:$B$236),""))</f>
        <v>Parmessano Atrio</v>
      </c>
    </row>
    <row r="214" spans="1:4" ht="20.100000000000001" hidden="1" customHeight="1" x14ac:dyDescent="0.45">
      <c r="A214" s="3">
        <v>5152122</v>
      </c>
      <c r="B214" s="2" t="s">
        <v>51</v>
      </c>
      <c r="C214" s="2" t="s">
        <v>472</v>
      </c>
      <c r="D214" s="10" t="str">
        <f>IFERROR(_xlfn.XLOOKUP($A214&amp;"",Hoja1!$C$2:$C$253,Hoja1!$D$2:$D$253),IFERROR(_xlfn.XLOOKUP($A214,'Sucursales Empleado'!$A$2:$A$236,'Sucursales Empleado'!$B$2:$B$236),""))</f>
        <v>Parmessano Atrio</v>
      </c>
    </row>
    <row r="215" spans="1:4" ht="20.100000000000001" hidden="1" customHeight="1" x14ac:dyDescent="0.45">
      <c r="A215" s="3">
        <v>5380284</v>
      </c>
      <c r="B215" s="2" t="s">
        <v>53</v>
      </c>
      <c r="C215" s="2" t="s">
        <v>472</v>
      </c>
      <c r="D215" s="10" t="str">
        <f>IFERROR(_xlfn.XLOOKUP($A215&amp;"",Hoja1!$C$2:$C$253,Hoja1!$D$2:$D$253),IFERROR(_xlfn.XLOOKUP($A215,'Sucursales Empleado'!$A$2:$A$236,'Sucursales Empleado'!$B$2:$B$236),""))</f>
        <v>Parmessano Atrio</v>
      </c>
    </row>
    <row r="216" spans="1:4" ht="20.100000000000001" hidden="1" customHeight="1" x14ac:dyDescent="0.45">
      <c r="A216" s="3">
        <v>5380284</v>
      </c>
      <c r="B216" s="2" t="s">
        <v>1251</v>
      </c>
      <c r="C216" s="2" t="s">
        <v>472</v>
      </c>
      <c r="D216" s="10" t="str">
        <f>IFERROR(_xlfn.XLOOKUP($A216&amp;"",Hoja1!$C$2:$C$253,Hoja1!$D$2:$D$253),IFERROR(_xlfn.XLOOKUP($A216,'Sucursales Empleado'!$A$2:$A$236,'Sucursales Empleado'!$B$2:$B$236),""))</f>
        <v>Parmessano Atrio</v>
      </c>
    </row>
    <row r="217" spans="1:4" ht="20.100000000000001" hidden="1" customHeight="1" x14ac:dyDescent="0.45">
      <c r="A217" s="3">
        <v>5380284</v>
      </c>
      <c r="B217" s="2" t="s">
        <v>1253</v>
      </c>
      <c r="C217" s="2" t="s">
        <v>472</v>
      </c>
      <c r="D217" s="10" t="str">
        <f>IFERROR(_xlfn.XLOOKUP($A217&amp;"",Hoja1!$C$2:$C$253,Hoja1!$D$2:$D$253),IFERROR(_xlfn.XLOOKUP($A217,'Sucursales Empleado'!$A$2:$A$236,'Sucursales Empleado'!$B$2:$B$236),""))</f>
        <v>Parmessano Atrio</v>
      </c>
    </row>
    <row r="218" spans="1:4" ht="20.100000000000001" hidden="1" customHeight="1" x14ac:dyDescent="0.45">
      <c r="A218" s="3">
        <v>80912321</v>
      </c>
      <c r="B218" s="2" t="s">
        <v>53</v>
      </c>
      <c r="C218" s="2" t="s">
        <v>472</v>
      </c>
      <c r="D218" s="10" t="str">
        <f>IFERROR(_xlfn.XLOOKUP($A218&amp;"",Hoja1!$C$2:$C$253,Hoja1!$D$2:$D$253),IFERROR(_xlfn.XLOOKUP($A218,'Sucursales Empleado'!$A$2:$A$236,'Sucursales Empleado'!$B$2:$B$236),""))</f>
        <v>Parmessano Atrio</v>
      </c>
    </row>
    <row r="219" spans="1:4" ht="20.100000000000001" hidden="1" customHeight="1" x14ac:dyDescent="0.45">
      <c r="A219" s="3">
        <v>80912321</v>
      </c>
      <c r="B219" s="2" t="s">
        <v>1251</v>
      </c>
      <c r="C219" s="2" t="s">
        <v>472</v>
      </c>
      <c r="D219" s="10" t="str">
        <f>IFERROR(_xlfn.XLOOKUP($A219&amp;"",Hoja1!$C$2:$C$253,Hoja1!$D$2:$D$253),IFERROR(_xlfn.XLOOKUP($A219,'Sucursales Empleado'!$A$2:$A$236,'Sucursales Empleado'!$B$2:$B$236),""))</f>
        <v>Parmessano Atrio</v>
      </c>
    </row>
    <row r="220" spans="1:4" ht="20.100000000000001" hidden="1" customHeight="1" x14ac:dyDescent="0.45">
      <c r="A220" s="3">
        <v>80912321</v>
      </c>
      <c r="B220" s="2" t="s">
        <v>1253</v>
      </c>
      <c r="C220" s="2" t="s">
        <v>472</v>
      </c>
      <c r="D220" s="10" t="str">
        <f>IFERROR(_xlfn.XLOOKUP($A220&amp;"",Hoja1!$C$2:$C$253,Hoja1!$D$2:$D$253),IFERROR(_xlfn.XLOOKUP($A220,'Sucursales Empleado'!$A$2:$A$236,'Sucursales Empleado'!$B$2:$B$236),""))</f>
        <v>Parmessano Atrio</v>
      </c>
    </row>
    <row r="221" spans="1:4" ht="20.100000000000001" hidden="1" customHeight="1" x14ac:dyDescent="0.45">
      <c r="A221" s="3">
        <v>1007504115</v>
      </c>
      <c r="B221" s="2" t="s">
        <v>55</v>
      </c>
      <c r="C221" s="2" t="s">
        <v>473</v>
      </c>
      <c r="D221" s="10" t="str">
        <f>IFERROR(_xlfn.XLOOKUP($A221&amp;"",Hoja1!$C$2:$C$253,Hoja1!$D$2:$D$253),IFERROR(_xlfn.XLOOKUP($A221,'Sucursales Empleado'!$A$2:$A$236,'Sucursales Empleado'!$B$2:$B$236),""))</f>
        <v>Parmessano Atrio</v>
      </c>
    </row>
    <row r="222" spans="1:4" ht="20.100000000000001" hidden="1" customHeight="1" x14ac:dyDescent="0.45">
      <c r="A222" s="3">
        <v>6063677</v>
      </c>
      <c r="B222" s="2" t="s">
        <v>53</v>
      </c>
      <c r="C222" s="2" t="s">
        <v>472</v>
      </c>
      <c r="D222" s="10" t="str">
        <f>IFERROR(_xlfn.XLOOKUP($A222&amp;"",Hoja1!$C$2:$C$253,Hoja1!$D$2:$D$253),IFERROR(_xlfn.XLOOKUP($A222,'Sucursales Empleado'!$A$2:$A$236,'Sucursales Empleado'!$B$2:$B$236),""))</f>
        <v>Parmessano Atrio</v>
      </c>
    </row>
    <row r="223" spans="1:4" ht="20.100000000000001" hidden="1" customHeight="1" x14ac:dyDescent="0.45">
      <c r="A223" s="3">
        <v>6063677</v>
      </c>
      <c r="B223" s="2" t="s">
        <v>1251</v>
      </c>
      <c r="C223" s="2" t="s">
        <v>472</v>
      </c>
      <c r="D223" s="10" t="str">
        <f>IFERROR(_xlfn.XLOOKUP($A223&amp;"",Hoja1!$C$2:$C$253,Hoja1!$D$2:$D$253),IFERROR(_xlfn.XLOOKUP($A223,'Sucursales Empleado'!$A$2:$A$236,'Sucursales Empleado'!$B$2:$B$236),""))</f>
        <v>Parmessano Atrio</v>
      </c>
    </row>
    <row r="224" spans="1:4" ht="20.100000000000001" hidden="1" customHeight="1" x14ac:dyDescent="0.45">
      <c r="A224" s="3">
        <v>6063677</v>
      </c>
      <c r="B224" s="2" t="s">
        <v>1253</v>
      </c>
      <c r="C224" s="2" t="s">
        <v>472</v>
      </c>
      <c r="D224" s="10" t="str">
        <f>IFERROR(_xlfn.XLOOKUP($A224&amp;"",Hoja1!$C$2:$C$253,Hoja1!$D$2:$D$253),IFERROR(_xlfn.XLOOKUP($A224,'Sucursales Empleado'!$A$2:$A$236,'Sucursales Empleado'!$B$2:$B$236),""))</f>
        <v>Parmessano Atrio</v>
      </c>
    </row>
    <row r="225" spans="1:4" ht="20.100000000000001" hidden="1" customHeight="1" x14ac:dyDescent="0.45">
      <c r="A225" s="3">
        <v>72267674</v>
      </c>
      <c r="B225" s="2" t="s">
        <v>53</v>
      </c>
      <c r="C225" s="2" t="s">
        <v>472</v>
      </c>
      <c r="D225" s="10" t="str">
        <f>IFERROR(_xlfn.XLOOKUP($A225&amp;"",Hoja1!$C$2:$C$253,Hoja1!$D$2:$D$253),IFERROR(_xlfn.XLOOKUP($A225,'Sucursales Empleado'!$A$2:$A$236,'Sucursales Empleado'!$B$2:$B$236),""))</f>
        <v>Parmessano Atrio</v>
      </c>
    </row>
    <row r="226" spans="1:4" ht="20.100000000000001" hidden="1" customHeight="1" x14ac:dyDescent="0.45">
      <c r="A226" s="3">
        <v>72267674</v>
      </c>
      <c r="B226" s="2" t="s">
        <v>1251</v>
      </c>
      <c r="C226" s="2" t="s">
        <v>472</v>
      </c>
      <c r="D226" s="10" t="str">
        <f>IFERROR(_xlfn.XLOOKUP($A226&amp;"",Hoja1!$C$2:$C$253,Hoja1!$D$2:$D$253),IFERROR(_xlfn.XLOOKUP($A226,'Sucursales Empleado'!$A$2:$A$236,'Sucursales Empleado'!$B$2:$B$236),""))</f>
        <v>Parmessano Atrio</v>
      </c>
    </row>
    <row r="227" spans="1:4" ht="20.100000000000001" hidden="1" customHeight="1" x14ac:dyDescent="0.45">
      <c r="A227" s="3">
        <v>72267674</v>
      </c>
      <c r="B227" s="2" t="s">
        <v>1253</v>
      </c>
      <c r="C227" s="2" t="s">
        <v>472</v>
      </c>
      <c r="D227" s="10" t="str">
        <f>IFERROR(_xlfn.XLOOKUP($A227&amp;"",Hoja1!$C$2:$C$253,Hoja1!$D$2:$D$253),IFERROR(_xlfn.XLOOKUP($A227,'Sucursales Empleado'!$A$2:$A$236,'Sucursales Empleado'!$B$2:$B$236),""))</f>
        <v>Parmessano Atrio</v>
      </c>
    </row>
    <row r="228" spans="1:4" ht="20.100000000000001" hidden="1" customHeight="1" x14ac:dyDescent="0.45">
      <c r="A228" s="3">
        <v>1033743277</v>
      </c>
      <c r="B228" s="2" t="s">
        <v>53</v>
      </c>
      <c r="C228" s="2" t="s">
        <v>472</v>
      </c>
      <c r="D228" s="10" t="str">
        <f>IFERROR(_xlfn.XLOOKUP($A228&amp;"",Hoja1!$C$2:$C$253,Hoja1!$D$2:$D$253),IFERROR(_xlfn.XLOOKUP($A228,'Sucursales Empleado'!$A$2:$A$236,'Sucursales Empleado'!$B$2:$B$236),""))</f>
        <v>Parmessano Atrio</v>
      </c>
    </row>
    <row r="229" spans="1:4" ht="20.100000000000001" hidden="1" customHeight="1" x14ac:dyDescent="0.45">
      <c r="A229" s="3">
        <v>1033743277</v>
      </c>
      <c r="B229" s="2" t="s">
        <v>1251</v>
      </c>
      <c r="C229" s="2" t="s">
        <v>472</v>
      </c>
      <c r="D229" s="10" t="str">
        <f>IFERROR(_xlfn.XLOOKUP($A229&amp;"",Hoja1!$C$2:$C$253,Hoja1!$D$2:$D$253),IFERROR(_xlfn.XLOOKUP($A229,'Sucursales Empleado'!$A$2:$A$236,'Sucursales Empleado'!$B$2:$B$236),""))</f>
        <v>Parmessano Atrio</v>
      </c>
    </row>
    <row r="230" spans="1:4" ht="20.100000000000001" hidden="1" customHeight="1" x14ac:dyDescent="0.45">
      <c r="A230" s="3">
        <v>1033743277</v>
      </c>
      <c r="B230" s="2" t="s">
        <v>1253</v>
      </c>
      <c r="C230" s="2" t="s">
        <v>472</v>
      </c>
      <c r="D230" s="10" t="str">
        <f>IFERROR(_xlfn.XLOOKUP($A230&amp;"",Hoja1!$C$2:$C$253,Hoja1!$D$2:$D$253),IFERROR(_xlfn.XLOOKUP($A230,'Sucursales Empleado'!$A$2:$A$236,'Sucursales Empleado'!$B$2:$B$236),""))</f>
        <v>Parmessano Atrio</v>
      </c>
    </row>
    <row r="231" spans="1:4" ht="20.100000000000001" hidden="1" customHeight="1" x14ac:dyDescent="0.45">
      <c r="A231" s="3">
        <v>1019018733</v>
      </c>
      <c r="B231" s="2" t="s">
        <v>47</v>
      </c>
      <c r="C231" s="2" t="s">
        <v>473</v>
      </c>
      <c r="D231" s="10" t="str">
        <f>IFERROR(_xlfn.XLOOKUP($A231&amp;"",Hoja1!$C$2:$C$253,Hoja1!$D$2:$D$253),IFERROR(_xlfn.XLOOKUP($A231,'Sucursales Empleado'!$A$2:$A$236,'Sucursales Empleado'!$B$2:$B$236),""))</f>
        <v>Parmessano Atrio</v>
      </c>
    </row>
    <row r="232" spans="1:4" ht="20.100000000000001" hidden="1" customHeight="1" x14ac:dyDescent="0.45">
      <c r="A232" s="3">
        <v>1019018733</v>
      </c>
      <c r="B232" s="2" t="s">
        <v>48</v>
      </c>
      <c r="C232" s="2" t="s">
        <v>473</v>
      </c>
      <c r="D232" s="10" t="str">
        <f>IFERROR(_xlfn.XLOOKUP($A232&amp;"",Hoja1!$C$2:$C$253,Hoja1!$D$2:$D$253),IFERROR(_xlfn.XLOOKUP($A232,'Sucursales Empleado'!$A$2:$A$236,'Sucursales Empleado'!$B$2:$B$236),""))</f>
        <v>Parmessano Atrio</v>
      </c>
    </row>
    <row r="233" spans="1:4" ht="20.100000000000001" hidden="1" customHeight="1" x14ac:dyDescent="0.45">
      <c r="A233" s="3">
        <v>1002392387</v>
      </c>
      <c r="B233" s="2" t="s">
        <v>53</v>
      </c>
      <c r="C233" s="2" t="s">
        <v>471</v>
      </c>
      <c r="D233" s="10" t="str">
        <f>IFERROR(_xlfn.XLOOKUP($A233&amp;"",Hoja1!$C$2:$C$253,Hoja1!$D$2:$D$253),IFERROR(_xlfn.XLOOKUP($A233,'Sucursales Empleado'!$A$2:$A$236,'Sucursales Empleado'!$B$2:$B$236),""))</f>
        <v>Parmessano Atrio</v>
      </c>
    </row>
    <row r="234" spans="1:4" ht="20.100000000000001" hidden="1" customHeight="1" x14ac:dyDescent="0.45">
      <c r="A234" s="3">
        <v>1002392387</v>
      </c>
      <c r="B234" s="2" t="s">
        <v>1251</v>
      </c>
      <c r="C234" s="2" t="s">
        <v>471</v>
      </c>
      <c r="D234" s="10" t="str">
        <f>IFERROR(_xlfn.XLOOKUP($A234&amp;"",Hoja1!$C$2:$C$253,Hoja1!$D$2:$D$253),IFERROR(_xlfn.XLOOKUP($A234,'Sucursales Empleado'!$A$2:$A$236,'Sucursales Empleado'!$B$2:$B$236),""))</f>
        <v>Parmessano Atrio</v>
      </c>
    </row>
    <row r="235" spans="1:4" ht="20.100000000000001" hidden="1" customHeight="1" x14ac:dyDescent="0.45">
      <c r="A235" s="3">
        <v>1002392387</v>
      </c>
      <c r="B235" s="2" t="s">
        <v>1254</v>
      </c>
      <c r="C235" s="2" t="s">
        <v>471</v>
      </c>
      <c r="D235" s="10" t="str">
        <f>IFERROR(_xlfn.XLOOKUP($A235&amp;"",Hoja1!$C$2:$C$253,Hoja1!$D$2:$D$253),IFERROR(_xlfn.XLOOKUP($A235,'Sucursales Empleado'!$A$2:$A$236,'Sucursales Empleado'!$B$2:$B$236),""))</f>
        <v>Parmessano Atrio</v>
      </c>
    </row>
    <row r="236" spans="1:4" ht="20.100000000000001" hidden="1" customHeight="1" x14ac:dyDescent="0.45">
      <c r="A236" s="3">
        <v>1065627424</v>
      </c>
      <c r="B236" s="2" t="s">
        <v>53</v>
      </c>
      <c r="C236" s="2" t="s">
        <v>471</v>
      </c>
      <c r="D236" s="10" t="str">
        <f>IFERROR(_xlfn.XLOOKUP($A236&amp;"",Hoja1!$C$2:$C$253,Hoja1!$D$2:$D$253),IFERROR(_xlfn.XLOOKUP($A236,'Sucursales Empleado'!$A$2:$A$236,'Sucursales Empleado'!$B$2:$B$236),""))</f>
        <v>Parmessano Atrio</v>
      </c>
    </row>
    <row r="237" spans="1:4" ht="20.100000000000001" hidden="1" customHeight="1" x14ac:dyDescent="0.45">
      <c r="A237" s="3">
        <v>1065627424</v>
      </c>
      <c r="B237" s="2" t="s">
        <v>1251</v>
      </c>
      <c r="C237" s="2" t="s">
        <v>471</v>
      </c>
      <c r="D237" s="10" t="str">
        <f>IFERROR(_xlfn.XLOOKUP($A237&amp;"",Hoja1!$C$2:$C$253,Hoja1!$D$2:$D$253),IFERROR(_xlfn.XLOOKUP($A237,'Sucursales Empleado'!$A$2:$A$236,'Sucursales Empleado'!$B$2:$B$236),""))</f>
        <v>Parmessano Atrio</v>
      </c>
    </row>
    <row r="238" spans="1:4" ht="20.100000000000001" hidden="1" customHeight="1" x14ac:dyDescent="0.45">
      <c r="A238" s="3">
        <v>1065627424</v>
      </c>
      <c r="B238" s="2" t="s">
        <v>1253</v>
      </c>
      <c r="C238" s="2" t="s">
        <v>471</v>
      </c>
      <c r="D238" s="10" t="str">
        <f>IFERROR(_xlfn.XLOOKUP($A238&amp;"",Hoja1!$C$2:$C$253,Hoja1!$D$2:$D$253),IFERROR(_xlfn.XLOOKUP($A238,'Sucursales Empleado'!$A$2:$A$236,'Sucursales Empleado'!$B$2:$B$236),""))</f>
        <v>Parmessano Atrio</v>
      </c>
    </row>
    <row r="239" spans="1:4" ht="20.100000000000001" hidden="1" customHeight="1" x14ac:dyDescent="0.45">
      <c r="A239" s="3">
        <v>6472089</v>
      </c>
      <c r="B239" s="2" t="s">
        <v>53</v>
      </c>
      <c r="C239" s="2" t="s">
        <v>471</v>
      </c>
      <c r="D239" s="10" t="str">
        <f>IFERROR(_xlfn.XLOOKUP($A239&amp;"",Hoja1!$C$2:$C$253,Hoja1!$D$2:$D$253),IFERROR(_xlfn.XLOOKUP($A239,'Sucursales Empleado'!$A$2:$A$236,'Sucursales Empleado'!$B$2:$B$236),""))</f>
        <v>Parmessano Atrio</v>
      </c>
    </row>
    <row r="240" spans="1:4" ht="20.100000000000001" hidden="1" customHeight="1" x14ac:dyDescent="0.45">
      <c r="A240" s="3">
        <v>6472089</v>
      </c>
      <c r="B240" s="2" t="s">
        <v>1251</v>
      </c>
      <c r="C240" s="2" t="s">
        <v>471</v>
      </c>
      <c r="D240" s="10" t="str">
        <f>IFERROR(_xlfn.XLOOKUP($A240&amp;"",Hoja1!$C$2:$C$253,Hoja1!$D$2:$D$253),IFERROR(_xlfn.XLOOKUP($A240,'Sucursales Empleado'!$A$2:$A$236,'Sucursales Empleado'!$B$2:$B$236),""))</f>
        <v>Parmessano Atrio</v>
      </c>
    </row>
    <row r="241" spans="1:4" ht="20.100000000000001" hidden="1" customHeight="1" x14ac:dyDescent="0.45">
      <c r="A241" s="3">
        <v>6472089</v>
      </c>
      <c r="B241" s="2" t="s">
        <v>1253</v>
      </c>
      <c r="C241" s="2" t="s">
        <v>471</v>
      </c>
      <c r="D241" s="10" t="str">
        <f>IFERROR(_xlfn.XLOOKUP($A241&amp;"",Hoja1!$C$2:$C$253,Hoja1!$D$2:$D$253),IFERROR(_xlfn.XLOOKUP($A241,'Sucursales Empleado'!$A$2:$A$236,'Sucursales Empleado'!$B$2:$B$236),""))</f>
        <v>Parmessano Atrio</v>
      </c>
    </row>
    <row r="242" spans="1:4" ht="20.100000000000001" hidden="1" customHeight="1" x14ac:dyDescent="0.45">
      <c r="A242" s="5">
        <v>1004368488</v>
      </c>
      <c r="B242" s="2" t="s">
        <v>55</v>
      </c>
      <c r="C242" s="6" t="s">
        <v>471</v>
      </c>
      <c r="D242" s="10" t="str">
        <f>IFERROR(_xlfn.XLOOKUP($A242&amp;"",Hoja1!$C$2:$C$253,Hoja1!$D$2:$D$253),IFERROR(_xlfn.XLOOKUP($A242,'Sucursales Empleado'!$A$2:$A$236,'Sucursales Empleado'!$B$2:$B$236),""))</f>
        <v>Parmessano Atrio</v>
      </c>
    </row>
    <row r="243" spans="1:4" ht="20.100000000000001" hidden="1" customHeight="1" x14ac:dyDescent="0.45">
      <c r="A243" s="13">
        <v>1042440539</v>
      </c>
      <c r="B243" s="11" t="s">
        <v>47</v>
      </c>
      <c r="C243" s="11" t="s">
        <v>473</v>
      </c>
      <c r="D243" s="11" t="str">
        <f>IFERROR(_xlfn.XLOOKUP($A243&amp;"",Hoja1!$C$2:$C$290,Hoja1!$D$2:$D$290),IFERROR(_xlfn.XLOOKUP($A243,'Sucursales Empleado'!$A$2:$A$265,'Sucursales Empleado'!$B$2:$B$265),""))</f>
        <v>Parmessano Atrio</v>
      </c>
    </row>
    <row r="244" spans="1:4" ht="20.100000000000001" hidden="1" customHeight="1" x14ac:dyDescent="0.45">
      <c r="A244" s="13">
        <v>1042440539</v>
      </c>
      <c r="B244" s="11" t="s">
        <v>48</v>
      </c>
      <c r="C244" s="11" t="s">
        <v>473</v>
      </c>
      <c r="D244" s="11" t="str">
        <f>IFERROR(_xlfn.XLOOKUP($A244&amp;"",Hoja1!$C$2:$C$290,Hoja1!$D$2:$D$290),IFERROR(_xlfn.XLOOKUP($A244,'Sucursales Empleado'!$A$2:$A$265,'Sucursales Empleado'!$B$2:$B$265),""))</f>
        <v>Parmessano Atrio</v>
      </c>
    </row>
    <row r="245" spans="1:4" ht="20.100000000000001" hidden="1" customHeight="1" x14ac:dyDescent="0.45">
      <c r="A245" s="13">
        <v>1018442964</v>
      </c>
      <c r="B245" s="11" t="s">
        <v>53</v>
      </c>
      <c r="C245" s="11" t="s">
        <v>471</v>
      </c>
      <c r="D245" s="11" t="str">
        <f>IFERROR(_xlfn.XLOOKUP($A245&amp;"",Hoja1!$C$2:$C$290,Hoja1!$D$2:$D$290),IFERROR(_xlfn.XLOOKUP($A245,'Sucursales Empleado'!$A$2:$A$265,'Sucursales Empleado'!$B$2:$B$265),""))</f>
        <v>Parmessano Atrio</v>
      </c>
    </row>
    <row r="246" spans="1:4" ht="20.100000000000001" customHeight="1" x14ac:dyDescent="0.45">
      <c r="A246" s="13">
        <v>1018442964</v>
      </c>
      <c r="B246" s="11" t="s">
        <v>1252</v>
      </c>
      <c r="C246" s="11" t="s">
        <v>471</v>
      </c>
      <c r="D246" s="11" t="str">
        <f>IFERROR(_xlfn.XLOOKUP($A246&amp;"",Hoja1!$C$2:$C$290,Hoja1!$D$2:$D$290),IFERROR(_xlfn.XLOOKUP($A246,'Sucursales Empleado'!$A$2:$A$265,'Sucursales Empleado'!$B$2:$B$265),""))</f>
        <v>Parmessano Atrio</v>
      </c>
    </row>
    <row r="247" spans="1:4" ht="20.100000000000001" hidden="1" customHeight="1" x14ac:dyDescent="0.45">
      <c r="A247" s="13">
        <v>1018442964</v>
      </c>
      <c r="B247" s="11" t="s">
        <v>1254</v>
      </c>
      <c r="C247" s="11" t="s">
        <v>471</v>
      </c>
      <c r="D247" s="11" t="str">
        <f>IFERROR(_xlfn.XLOOKUP($A247&amp;"",Hoja1!$C$2:$C$290,Hoja1!$D$2:$D$290),IFERROR(_xlfn.XLOOKUP($A247,'Sucursales Empleado'!$A$2:$A$265,'Sucursales Empleado'!$B$2:$B$265),""))</f>
        <v>Parmessano Atrio</v>
      </c>
    </row>
    <row r="248" spans="1:4" ht="20.100000000000001" hidden="1" customHeight="1" x14ac:dyDescent="0.45">
      <c r="A248" s="13">
        <v>1018442964</v>
      </c>
      <c r="B248" s="11" t="s">
        <v>50</v>
      </c>
      <c r="C248" s="11" t="s">
        <v>471</v>
      </c>
      <c r="D248" s="11" t="str">
        <f>IFERROR(_xlfn.XLOOKUP($A248&amp;"",Hoja1!$C$2:$C$290,Hoja1!$D$2:$D$290),IFERROR(_xlfn.XLOOKUP($A248,'Sucursales Empleado'!$A$2:$A$265,'Sucursales Empleado'!$B$2:$B$265),""))</f>
        <v>Parmessano Atrio</v>
      </c>
    </row>
    <row r="249" spans="1:4" ht="20.100000000000001" hidden="1" customHeight="1" x14ac:dyDescent="0.45">
      <c r="A249" s="13">
        <v>1018442964</v>
      </c>
      <c r="B249" s="11" t="s">
        <v>51</v>
      </c>
      <c r="C249" s="11" t="s">
        <v>471</v>
      </c>
      <c r="D249" s="11" t="str">
        <f>IFERROR(_xlfn.XLOOKUP($A249&amp;"",Hoja1!$C$2:$C$290,Hoja1!$D$2:$D$290),IFERROR(_xlfn.XLOOKUP($A249,'Sucursales Empleado'!$A$2:$A$265,'Sucursales Empleado'!$B$2:$B$265),""))</f>
        <v>Parmessano Atrio</v>
      </c>
    </row>
    <row r="250" spans="1:4" ht="20.100000000000001" hidden="1" customHeight="1" x14ac:dyDescent="0.45">
      <c r="A250" s="13">
        <v>1024489562</v>
      </c>
      <c r="B250" s="11" t="s">
        <v>37</v>
      </c>
      <c r="C250" s="11" t="s">
        <v>471</v>
      </c>
      <c r="D250" s="11" t="str">
        <f>IFERROR(_xlfn.XLOOKUP($A250&amp;"",Hoja1!$C$2:$C$290,Hoja1!$D$2:$D$290),IFERROR(_xlfn.XLOOKUP($A250,'Sucursales Empleado'!$A$2:$A$265,'Sucursales Empleado'!$B$2:$B$265),""))</f>
        <v>Parmessano Atrio</v>
      </c>
    </row>
    <row r="251" spans="1:4" ht="20.100000000000001" hidden="1" customHeight="1" x14ac:dyDescent="0.45">
      <c r="A251" s="13">
        <v>1024489562</v>
      </c>
      <c r="B251" s="11" t="s">
        <v>39</v>
      </c>
      <c r="C251" s="11" t="s">
        <v>471</v>
      </c>
      <c r="D251" s="11" t="str">
        <f>IFERROR(_xlfn.XLOOKUP($A251&amp;"",Hoja1!$C$2:$C$290,Hoja1!$D$2:$D$290),IFERROR(_xlfn.XLOOKUP($A251,'Sucursales Empleado'!$A$2:$A$265,'Sucursales Empleado'!$B$2:$B$265),""))</f>
        <v>Parmessano Atrio</v>
      </c>
    </row>
    <row r="252" spans="1:4" ht="20.100000000000001" hidden="1" customHeight="1" x14ac:dyDescent="0.45">
      <c r="A252" s="13">
        <v>1024489562</v>
      </c>
      <c r="B252" s="11" t="s">
        <v>40</v>
      </c>
      <c r="C252" s="11" t="s">
        <v>471</v>
      </c>
      <c r="D252" s="11" t="str">
        <f>IFERROR(_xlfn.XLOOKUP($A252&amp;"",Hoja1!$C$2:$C$290,Hoja1!$D$2:$D$290),IFERROR(_xlfn.XLOOKUP($A252,'Sucursales Empleado'!$A$2:$A$265,'Sucursales Empleado'!$B$2:$B$265),""))</f>
        <v>Parmessano Atrio</v>
      </c>
    </row>
    <row r="253" spans="1:4" ht="20.100000000000001" hidden="1" customHeight="1" x14ac:dyDescent="0.45">
      <c r="A253" s="13">
        <v>1024489562</v>
      </c>
      <c r="B253" s="11" t="s">
        <v>41</v>
      </c>
      <c r="C253" s="11" t="s">
        <v>471</v>
      </c>
      <c r="D253" s="11" t="str">
        <f>IFERROR(_xlfn.XLOOKUP($A253&amp;"",Hoja1!$C$2:$C$290,Hoja1!$D$2:$D$290),IFERROR(_xlfn.XLOOKUP($A253,'Sucursales Empleado'!$A$2:$A$265,'Sucursales Empleado'!$B$2:$B$265),""))</f>
        <v>Parmessano Atrio</v>
      </c>
    </row>
    <row r="254" spans="1:4" ht="20.100000000000001" hidden="1" customHeight="1" x14ac:dyDescent="0.45">
      <c r="A254" s="13">
        <v>1024489562</v>
      </c>
      <c r="B254" s="11" t="s">
        <v>42</v>
      </c>
      <c r="C254" s="11" t="s">
        <v>471</v>
      </c>
      <c r="D254" s="11" t="str">
        <f>IFERROR(_xlfn.XLOOKUP($A254&amp;"",Hoja1!$C$2:$C$290,Hoja1!$D$2:$D$290),IFERROR(_xlfn.XLOOKUP($A254,'Sucursales Empleado'!$A$2:$A$265,'Sucursales Empleado'!$B$2:$B$265),""))</f>
        <v>Parmessano Atrio</v>
      </c>
    </row>
    <row r="255" spans="1:4" ht="20.100000000000001" hidden="1" customHeight="1" x14ac:dyDescent="0.45">
      <c r="A255" s="13">
        <v>1024489562</v>
      </c>
      <c r="B255" s="11" t="s">
        <v>1251</v>
      </c>
      <c r="C255" s="11" t="s">
        <v>471</v>
      </c>
      <c r="D255" s="11" t="str">
        <f>IFERROR(_xlfn.XLOOKUP($A255&amp;"",Hoja1!$C$2:$C$290,Hoja1!$D$2:$D$290),IFERROR(_xlfn.XLOOKUP($A255,'Sucursales Empleado'!$A$2:$A$265,'Sucursales Empleado'!$B$2:$B$265),""))</f>
        <v>Parmessano Atrio</v>
      </c>
    </row>
    <row r="256" spans="1:4" ht="20.100000000000001" hidden="1" customHeight="1" x14ac:dyDescent="0.45">
      <c r="A256" s="13">
        <v>1024489562</v>
      </c>
      <c r="B256" s="11" t="s">
        <v>44</v>
      </c>
      <c r="C256" s="11" t="s">
        <v>471</v>
      </c>
      <c r="D256" s="11" t="str">
        <f>IFERROR(_xlfn.XLOOKUP($A256&amp;"",Hoja1!$C$2:$C$290,Hoja1!$D$2:$D$290),IFERROR(_xlfn.XLOOKUP($A256,'Sucursales Empleado'!$A$2:$A$265,'Sucursales Empleado'!$B$2:$B$265),""))</f>
        <v>Parmessano Atrio</v>
      </c>
    </row>
    <row r="257" spans="1:4" ht="20.100000000000001" hidden="1" customHeight="1" x14ac:dyDescent="0.45">
      <c r="A257" s="13">
        <v>1024489562</v>
      </c>
      <c r="B257" s="11" t="s">
        <v>45</v>
      </c>
      <c r="C257" s="11" t="s">
        <v>471</v>
      </c>
      <c r="D257" s="11" t="str">
        <f>IFERROR(_xlfn.XLOOKUP($A257&amp;"",Hoja1!$C$2:$C$290,Hoja1!$D$2:$D$290),IFERROR(_xlfn.XLOOKUP($A257,'Sucursales Empleado'!$A$2:$A$265,'Sucursales Empleado'!$B$2:$B$265),""))</f>
        <v>Parmessano Atrio</v>
      </c>
    </row>
    <row r="258" spans="1:4" ht="20.100000000000001" hidden="1" customHeight="1" x14ac:dyDescent="0.45">
      <c r="A258" s="13">
        <v>64578281</v>
      </c>
      <c r="B258" s="11" t="s">
        <v>37</v>
      </c>
      <c r="C258" s="11" t="s">
        <v>471</v>
      </c>
      <c r="D258" s="11" t="str">
        <f>IFERROR(_xlfn.XLOOKUP($A258&amp;"",Hoja1!$C$2:$C$290,Hoja1!$D$2:$D$290),IFERROR(_xlfn.XLOOKUP($A258,'Sucursales Empleado'!$A$2:$A$265,'Sucursales Empleado'!$B$2:$B$265),""))</f>
        <v>Parmessano Atrio</v>
      </c>
    </row>
    <row r="259" spans="1:4" ht="20.100000000000001" hidden="1" customHeight="1" x14ac:dyDescent="0.45">
      <c r="A259" s="13">
        <v>64578281</v>
      </c>
      <c r="B259" s="11" t="s">
        <v>39</v>
      </c>
      <c r="C259" s="11" t="s">
        <v>471</v>
      </c>
      <c r="D259" s="11" t="str">
        <f>IFERROR(_xlfn.XLOOKUP($A259&amp;"",Hoja1!$C$2:$C$290,Hoja1!$D$2:$D$290),IFERROR(_xlfn.XLOOKUP($A259,'Sucursales Empleado'!$A$2:$A$265,'Sucursales Empleado'!$B$2:$B$265),""))</f>
        <v>Parmessano Atrio</v>
      </c>
    </row>
    <row r="260" spans="1:4" ht="20.100000000000001" hidden="1" customHeight="1" x14ac:dyDescent="0.45">
      <c r="A260" s="13">
        <v>64578281</v>
      </c>
      <c r="B260" s="11" t="s">
        <v>40</v>
      </c>
      <c r="C260" s="11" t="s">
        <v>471</v>
      </c>
      <c r="D260" s="11" t="str">
        <f>IFERROR(_xlfn.XLOOKUP($A260&amp;"",Hoja1!$C$2:$C$290,Hoja1!$D$2:$D$290),IFERROR(_xlfn.XLOOKUP($A260,'Sucursales Empleado'!$A$2:$A$265,'Sucursales Empleado'!$B$2:$B$265),""))</f>
        <v>Parmessano Atrio</v>
      </c>
    </row>
    <row r="261" spans="1:4" ht="20.100000000000001" hidden="1" customHeight="1" x14ac:dyDescent="0.45">
      <c r="A261" s="13">
        <v>64578281</v>
      </c>
      <c r="B261" s="11" t="s">
        <v>41</v>
      </c>
      <c r="C261" s="11" t="s">
        <v>471</v>
      </c>
      <c r="D261" s="11" t="str">
        <f>IFERROR(_xlfn.XLOOKUP($A261&amp;"",Hoja1!$C$2:$C$290,Hoja1!$D$2:$D$290),IFERROR(_xlfn.XLOOKUP($A261,'Sucursales Empleado'!$A$2:$A$265,'Sucursales Empleado'!$B$2:$B$265),""))</f>
        <v>Parmessano Atrio</v>
      </c>
    </row>
    <row r="262" spans="1:4" ht="20.100000000000001" hidden="1" customHeight="1" x14ac:dyDescent="0.45">
      <c r="A262" s="13">
        <v>64578281</v>
      </c>
      <c r="B262" s="11" t="s">
        <v>42</v>
      </c>
      <c r="C262" s="11" t="s">
        <v>471</v>
      </c>
      <c r="D262" s="11" t="str">
        <f>IFERROR(_xlfn.XLOOKUP($A262&amp;"",Hoja1!$C$2:$C$290,Hoja1!$D$2:$D$290),IFERROR(_xlfn.XLOOKUP($A262,'Sucursales Empleado'!$A$2:$A$265,'Sucursales Empleado'!$B$2:$B$265),""))</f>
        <v>Parmessano Atrio</v>
      </c>
    </row>
    <row r="263" spans="1:4" ht="20.100000000000001" hidden="1" customHeight="1" x14ac:dyDescent="0.45">
      <c r="A263" s="13">
        <v>64578281</v>
      </c>
      <c r="B263" s="11" t="s">
        <v>1251</v>
      </c>
      <c r="C263" s="11" t="s">
        <v>471</v>
      </c>
      <c r="D263" s="11" t="str">
        <f>IFERROR(_xlfn.XLOOKUP($A263&amp;"",Hoja1!$C$2:$C$290,Hoja1!$D$2:$D$290),IFERROR(_xlfn.XLOOKUP($A263,'Sucursales Empleado'!$A$2:$A$265,'Sucursales Empleado'!$B$2:$B$265),""))</f>
        <v>Parmessano Atrio</v>
      </c>
    </row>
    <row r="264" spans="1:4" ht="20.100000000000001" hidden="1" customHeight="1" x14ac:dyDescent="0.45">
      <c r="A264" s="13">
        <v>64578281</v>
      </c>
      <c r="B264" s="11" t="s">
        <v>44</v>
      </c>
      <c r="C264" s="11" t="s">
        <v>471</v>
      </c>
      <c r="D264" s="11" t="str">
        <f>IFERROR(_xlfn.XLOOKUP($A264&amp;"",Hoja1!$C$2:$C$290,Hoja1!$D$2:$D$290),IFERROR(_xlfn.XLOOKUP($A264,'Sucursales Empleado'!$A$2:$A$265,'Sucursales Empleado'!$B$2:$B$265),""))</f>
        <v>Parmessano Atrio</v>
      </c>
    </row>
    <row r="265" spans="1:4" ht="20.100000000000001" hidden="1" customHeight="1" x14ac:dyDescent="0.45">
      <c r="A265" s="13">
        <v>64578281</v>
      </c>
      <c r="B265" s="11" t="s">
        <v>45</v>
      </c>
      <c r="C265" s="11" t="s">
        <v>471</v>
      </c>
      <c r="D265" s="11" t="str">
        <f>IFERROR(_xlfn.XLOOKUP($A265&amp;"",Hoja1!$C$2:$C$290,Hoja1!$D$2:$D$290),IFERROR(_xlfn.XLOOKUP($A265,'Sucursales Empleado'!$A$2:$A$265,'Sucursales Empleado'!$B$2:$B$265),""))</f>
        <v>Parmessano Atrio</v>
      </c>
    </row>
    <row r="266" spans="1:4" ht="20.100000000000001" hidden="1" customHeight="1" x14ac:dyDescent="0.45">
      <c r="A266" s="13">
        <v>5828801</v>
      </c>
      <c r="B266" s="11" t="s">
        <v>37</v>
      </c>
      <c r="C266" s="11" t="s">
        <v>471</v>
      </c>
      <c r="D266" s="11" t="str">
        <f>IFERROR(_xlfn.XLOOKUP($A266&amp;"",Hoja1!$C$2:$C$290,Hoja1!$D$2:$D$290),IFERROR(_xlfn.XLOOKUP($A266,'Sucursales Empleado'!$A$2:$A$265,'Sucursales Empleado'!$B$2:$B$265),""))</f>
        <v>Parmessano Atrio</v>
      </c>
    </row>
    <row r="267" spans="1:4" ht="20.100000000000001" hidden="1" customHeight="1" x14ac:dyDescent="0.45">
      <c r="A267" s="13">
        <v>5828801</v>
      </c>
      <c r="B267" s="11" t="s">
        <v>39</v>
      </c>
      <c r="C267" s="11" t="s">
        <v>471</v>
      </c>
      <c r="D267" s="11" t="str">
        <f>IFERROR(_xlfn.XLOOKUP($A267&amp;"",Hoja1!$C$2:$C$290,Hoja1!$D$2:$D$290),IFERROR(_xlfn.XLOOKUP($A267,'Sucursales Empleado'!$A$2:$A$265,'Sucursales Empleado'!$B$2:$B$265),""))</f>
        <v>Parmessano Atrio</v>
      </c>
    </row>
    <row r="268" spans="1:4" ht="20.100000000000001" hidden="1" customHeight="1" x14ac:dyDescent="0.45">
      <c r="A268" s="13">
        <v>5828801</v>
      </c>
      <c r="B268" s="11" t="s">
        <v>40</v>
      </c>
      <c r="C268" s="11" t="s">
        <v>471</v>
      </c>
      <c r="D268" s="11" t="str">
        <f>IFERROR(_xlfn.XLOOKUP($A268&amp;"",Hoja1!$C$2:$C$290,Hoja1!$D$2:$D$290),IFERROR(_xlfn.XLOOKUP($A268,'Sucursales Empleado'!$A$2:$A$265,'Sucursales Empleado'!$B$2:$B$265),""))</f>
        <v>Parmessano Atrio</v>
      </c>
    </row>
    <row r="269" spans="1:4" ht="20.100000000000001" hidden="1" customHeight="1" x14ac:dyDescent="0.45">
      <c r="A269" s="13">
        <v>5828801</v>
      </c>
      <c r="B269" s="11" t="s">
        <v>41</v>
      </c>
      <c r="C269" s="11" t="s">
        <v>471</v>
      </c>
      <c r="D269" s="11" t="str">
        <f>IFERROR(_xlfn.XLOOKUP($A269&amp;"",Hoja1!$C$2:$C$290,Hoja1!$D$2:$D$290),IFERROR(_xlfn.XLOOKUP($A269,'Sucursales Empleado'!$A$2:$A$265,'Sucursales Empleado'!$B$2:$B$265),""))</f>
        <v>Parmessano Atrio</v>
      </c>
    </row>
    <row r="270" spans="1:4" ht="20.100000000000001" hidden="1" customHeight="1" x14ac:dyDescent="0.45">
      <c r="A270" s="13">
        <v>5828801</v>
      </c>
      <c r="B270" s="11" t="s">
        <v>42</v>
      </c>
      <c r="C270" s="11" t="s">
        <v>471</v>
      </c>
      <c r="D270" s="11" t="str">
        <f>IFERROR(_xlfn.XLOOKUP($A270&amp;"",Hoja1!$C$2:$C$290,Hoja1!$D$2:$D$290),IFERROR(_xlfn.XLOOKUP($A270,'Sucursales Empleado'!$A$2:$A$265,'Sucursales Empleado'!$B$2:$B$265),""))</f>
        <v>Parmessano Atrio</v>
      </c>
    </row>
    <row r="271" spans="1:4" ht="20.100000000000001" hidden="1" customHeight="1" x14ac:dyDescent="0.45">
      <c r="A271" s="13">
        <v>5828801</v>
      </c>
      <c r="B271" s="11" t="s">
        <v>1251</v>
      </c>
      <c r="C271" s="11" t="s">
        <v>471</v>
      </c>
      <c r="D271" s="11" t="str">
        <f>IFERROR(_xlfn.XLOOKUP($A271&amp;"",Hoja1!$C$2:$C$290,Hoja1!$D$2:$D$290),IFERROR(_xlfn.XLOOKUP($A271,'Sucursales Empleado'!$A$2:$A$265,'Sucursales Empleado'!$B$2:$B$265),""))</f>
        <v>Parmessano Atrio</v>
      </c>
    </row>
    <row r="272" spans="1:4" ht="20.100000000000001" hidden="1" customHeight="1" x14ac:dyDescent="0.45">
      <c r="A272" s="13">
        <v>5828801</v>
      </c>
      <c r="B272" s="11" t="s">
        <v>44</v>
      </c>
      <c r="C272" s="11" t="s">
        <v>471</v>
      </c>
      <c r="D272" s="11" t="str">
        <f>IFERROR(_xlfn.XLOOKUP($A272&amp;"",Hoja1!$C$2:$C$290,Hoja1!$D$2:$D$290),IFERROR(_xlfn.XLOOKUP($A272,'Sucursales Empleado'!$A$2:$A$265,'Sucursales Empleado'!$B$2:$B$265),""))</f>
        <v>Parmessano Atrio</v>
      </c>
    </row>
    <row r="273" spans="1:4" ht="20.100000000000001" hidden="1" customHeight="1" x14ac:dyDescent="0.45">
      <c r="A273" s="13">
        <v>5828801</v>
      </c>
      <c r="B273" s="11" t="s">
        <v>45</v>
      </c>
      <c r="C273" s="11" t="s">
        <v>471</v>
      </c>
      <c r="D273" s="11" t="str">
        <f>IFERROR(_xlfn.XLOOKUP($A273&amp;"",Hoja1!$C$2:$C$290,Hoja1!$D$2:$D$290),IFERROR(_xlfn.XLOOKUP($A273,'Sucursales Empleado'!$A$2:$A$265,'Sucursales Empleado'!$B$2:$B$265),""))</f>
        <v>Parmessano Atrio</v>
      </c>
    </row>
    <row r="274" spans="1:4" ht="20.100000000000001" hidden="1" customHeight="1" x14ac:dyDescent="0.45">
      <c r="A274" s="13">
        <v>1000944472</v>
      </c>
      <c r="B274" s="11" t="s">
        <v>53</v>
      </c>
      <c r="C274" s="11" t="s">
        <v>471</v>
      </c>
      <c r="D274" s="11" t="str">
        <f>IFERROR(_xlfn.XLOOKUP($A274&amp;"",Hoja1!$C$2:$C$290,Hoja1!$D$2:$D$290),IFERROR(_xlfn.XLOOKUP($A274,'Sucursales Empleado'!$A$2:$A$265,'Sucursales Empleado'!$B$2:$B$265),""))</f>
        <v>Parmessano Atrio</v>
      </c>
    </row>
    <row r="275" spans="1:4" ht="20.100000000000001" customHeight="1" x14ac:dyDescent="0.45">
      <c r="A275" s="13">
        <v>1000944472</v>
      </c>
      <c r="B275" s="11" t="s">
        <v>1252</v>
      </c>
      <c r="C275" s="11" t="s">
        <v>471</v>
      </c>
      <c r="D275" s="11" t="str">
        <f>IFERROR(_xlfn.XLOOKUP($A275&amp;"",Hoja1!$C$2:$C$290,Hoja1!$D$2:$D$290),IFERROR(_xlfn.XLOOKUP($A275,'Sucursales Empleado'!$A$2:$A$265,'Sucursales Empleado'!$B$2:$B$265),""))</f>
        <v>Parmessano Atrio</v>
      </c>
    </row>
    <row r="276" spans="1:4" ht="20.100000000000001" hidden="1" customHeight="1" x14ac:dyDescent="0.45">
      <c r="A276" s="13">
        <v>1000944472</v>
      </c>
      <c r="B276" s="11" t="s">
        <v>1254</v>
      </c>
      <c r="C276" s="11" t="s">
        <v>471</v>
      </c>
      <c r="D276" s="11" t="str">
        <f>IFERROR(_xlfn.XLOOKUP($A276&amp;"",Hoja1!$C$2:$C$290,Hoja1!$D$2:$D$290),IFERROR(_xlfn.XLOOKUP($A276,'Sucursales Empleado'!$A$2:$A$265,'Sucursales Empleado'!$B$2:$B$265),""))</f>
        <v>Parmessano Atrio</v>
      </c>
    </row>
    <row r="277" spans="1:4" ht="20.100000000000001" hidden="1" customHeight="1" x14ac:dyDescent="0.45">
      <c r="A277" s="13">
        <v>1000944472</v>
      </c>
      <c r="B277" s="11" t="s">
        <v>50</v>
      </c>
      <c r="C277" s="11" t="s">
        <v>471</v>
      </c>
      <c r="D277" s="11" t="str">
        <f>IFERROR(_xlfn.XLOOKUP($A277&amp;"",Hoja1!$C$2:$C$290,Hoja1!$D$2:$D$290),IFERROR(_xlfn.XLOOKUP($A277,'Sucursales Empleado'!$A$2:$A$265,'Sucursales Empleado'!$B$2:$B$265),""))</f>
        <v>Parmessano Atrio</v>
      </c>
    </row>
    <row r="278" spans="1:4" ht="20.100000000000001" hidden="1" customHeight="1" x14ac:dyDescent="0.45">
      <c r="A278" s="13">
        <v>1000944472</v>
      </c>
      <c r="B278" s="11" t="s">
        <v>51</v>
      </c>
      <c r="C278" s="11" t="s">
        <v>471</v>
      </c>
      <c r="D278" s="11" t="str">
        <f>IFERROR(_xlfn.XLOOKUP($A278&amp;"",Hoja1!$C$2:$C$290,Hoja1!$D$2:$D$290),IFERROR(_xlfn.XLOOKUP($A278,'Sucursales Empleado'!$A$2:$A$265,'Sucursales Empleado'!$B$2:$B$265),""))</f>
        <v>Parmessano Atrio</v>
      </c>
    </row>
    <row r="279" spans="1:4" ht="20.100000000000001" hidden="1" customHeight="1" x14ac:dyDescent="0.45">
      <c r="A279" s="3">
        <v>2508634</v>
      </c>
      <c r="B279" s="2" t="s">
        <v>42</v>
      </c>
      <c r="C279" s="2" t="s">
        <v>473</v>
      </c>
      <c r="D279" s="10" t="str">
        <f>IFERROR(_xlfn.XLOOKUP($A279&amp;"",Hoja1!$C$2:$C$253,Hoja1!$D$2:$D$253),IFERROR(_xlfn.XLOOKUP($A279,'Sucursales Empleado'!$A$2:$A$236,'Sucursales Empleado'!$B$2:$B$236),""))</f>
        <v>Parmessano Gran Estacion</v>
      </c>
    </row>
    <row r="280" spans="1:4" ht="20.100000000000001" hidden="1" customHeight="1" x14ac:dyDescent="0.45">
      <c r="A280" s="3">
        <v>2508634</v>
      </c>
      <c r="B280" s="2" t="s">
        <v>40</v>
      </c>
      <c r="C280" s="2" t="s">
        <v>472</v>
      </c>
      <c r="D280" s="10" t="str">
        <f>IFERROR(_xlfn.XLOOKUP($A280&amp;"",Hoja1!$C$2:$C$253,Hoja1!$D$2:$D$253),IFERROR(_xlfn.XLOOKUP($A280,'Sucursales Empleado'!$A$2:$A$236,'Sucursales Empleado'!$B$2:$B$236),""))</f>
        <v>Parmessano Gran Estacion</v>
      </c>
    </row>
    <row r="281" spans="1:4" ht="20.100000000000001" hidden="1" customHeight="1" x14ac:dyDescent="0.45">
      <c r="A281" s="3">
        <v>2508634</v>
      </c>
      <c r="B281" s="2" t="s">
        <v>41</v>
      </c>
      <c r="C281" s="2" t="s">
        <v>471</v>
      </c>
      <c r="D281" s="10" t="str">
        <f>IFERROR(_xlfn.XLOOKUP($A281&amp;"",Hoja1!$C$2:$C$253,Hoja1!$D$2:$D$253),IFERROR(_xlfn.XLOOKUP($A281,'Sucursales Empleado'!$A$2:$A$236,'Sucursales Empleado'!$B$2:$B$236),""))</f>
        <v>Parmessano Gran Estacion</v>
      </c>
    </row>
    <row r="282" spans="1:4" ht="20.100000000000001" hidden="1" customHeight="1" x14ac:dyDescent="0.45">
      <c r="A282" s="3">
        <v>2508634</v>
      </c>
      <c r="B282" s="2" t="s">
        <v>1251</v>
      </c>
      <c r="C282" s="2" t="s">
        <v>472</v>
      </c>
      <c r="D282" s="10" t="str">
        <f>IFERROR(_xlfn.XLOOKUP($A282&amp;"",Hoja1!$C$2:$C$253,Hoja1!$D$2:$D$253),IFERROR(_xlfn.XLOOKUP($A282,'Sucursales Empleado'!$A$2:$A$236,'Sucursales Empleado'!$B$2:$B$236),""))</f>
        <v>Parmessano Gran Estacion</v>
      </c>
    </row>
    <row r="283" spans="1:4" ht="20.100000000000001" hidden="1" customHeight="1" x14ac:dyDescent="0.45">
      <c r="A283" s="3">
        <v>2508634</v>
      </c>
      <c r="B283" s="2" t="s">
        <v>39</v>
      </c>
      <c r="C283" s="2" t="s">
        <v>473</v>
      </c>
      <c r="D283" s="10" t="str">
        <f>IFERROR(_xlfn.XLOOKUP($A283&amp;"",Hoja1!$C$2:$C$253,Hoja1!$D$2:$D$253),IFERROR(_xlfn.XLOOKUP($A283,'Sucursales Empleado'!$A$2:$A$236,'Sucursales Empleado'!$B$2:$B$236),""))</f>
        <v>Parmessano Gran Estacion</v>
      </c>
    </row>
    <row r="284" spans="1:4" ht="20.100000000000001" hidden="1" customHeight="1" x14ac:dyDescent="0.45">
      <c r="A284" s="3">
        <v>2508634</v>
      </c>
      <c r="B284" s="2" t="s">
        <v>37</v>
      </c>
      <c r="C284" s="2" t="s">
        <v>472</v>
      </c>
      <c r="D284" s="10" t="str">
        <f>IFERROR(_xlfn.XLOOKUP($A284&amp;"",Hoja1!$C$2:$C$253,Hoja1!$D$2:$D$253),IFERROR(_xlfn.XLOOKUP($A284,'Sucursales Empleado'!$A$2:$A$236,'Sucursales Empleado'!$B$2:$B$236),""))</f>
        <v>Parmessano Gran Estacion</v>
      </c>
    </row>
    <row r="285" spans="1:4" ht="20.100000000000001" hidden="1" customHeight="1" x14ac:dyDescent="0.45">
      <c r="A285" s="3">
        <v>5822112</v>
      </c>
      <c r="B285" s="2" t="s">
        <v>42</v>
      </c>
      <c r="C285" s="2" t="s">
        <v>472</v>
      </c>
      <c r="D285" s="10" t="str">
        <f>IFERROR(_xlfn.XLOOKUP($A285&amp;"",Hoja1!$C$2:$C$253,Hoja1!$D$2:$D$253),IFERROR(_xlfn.XLOOKUP($A285,'Sucursales Empleado'!$A$2:$A$236,'Sucursales Empleado'!$B$2:$B$236),""))</f>
        <v>Parmessano Gran Estacion</v>
      </c>
    </row>
    <row r="286" spans="1:4" ht="20.100000000000001" hidden="1" customHeight="1" x14ac:dyDescent="0.45">
      <c r="A286" s="3">
        <v>5822112</v>
      </c>
      <c r="B286" s="2" t="s">
        <v>40</v>
      </c>
      <c r="C286" s="2" t="s">
        <v>472</v>
      </c>
      <c r="D286" s="10" t="str">
        <f>IFERROR(_xlfn.XLOOKUP($A286&amp;"",Hoja1!$C$2:$C$253,Hoja1!$D$2:$D$253),IFERROR(_xlfn.XLOOKUP($A286,'Sucursales Empleado'!$A$2:$A$236,'Sucursales Empleado'!$B$2:$B$236),""))</f>
        <v>Parmessano Gran Estacion</v>
      </c>
    </row>
    <row r="287" spans="1:4" ht="20.100000000000001" hidden="1" customHeight="1" x14ac:dyDescent="0.45">
      <c r="A287" s="3">
        <v>5822112</v>
      </c>
      <c r="B287" s="2" t="s">
        <v>41</v>
      </c>
      <c r="C287" s="2" t="s">
        <v>471</v>
      </c>
      <c r="D287" s="10" t="str">
        <f>IFERROR(_xlfn.XLOOKUP($A287&amp;"",Hoja1!$C$2:$C$253,Hoja1!$D$2:$D$253),IFERROR(_xlfn.XLOOKUP($A287,'Sucursales Empleado'!$A$2:$A$236,'Sucursales Empleado'!$B$2:$B$236),""))</f>
        <v>Parmessano Gran Estacion</v>
      </c>
    </row>
    <row r="288" spans="1:4" ht="20.100000000000001" hidden="1" customHeight="1" x14ac:dyDescent="0.45">
      <c r="A288" s="3">
        <v>5822112</v>
      </c>
      <c r="B288" s="2" t="s">
        <v>1251</v>
      </c>
      <c r="C288" s="2" t="s">
        <v>471</v>
      </c>
      <c r="D288" s="10" t="str">
        <f>IFERROR(_xlfn.XLOOKUP($A288&amp;"",Hoja1!$C$2:$C$253,Hoja1!$D$2:$D$253),IFERROR(_xlfn.XLOOKUP($A288,'Sucursales Empleado'!$A$2:$A$236,'Sucursales Empleado'!$B$2:$B$236),""))</f>
        <v>Parmessano Gran Estacion</v>
      </c>
    </row>
    <row r="289" spans="1:4" ht="20.100000000000001" hidden="1" customHeight="1" x14ac:dyDescent="0.45">
      <c r="A289" s="3">
        <v>5822112</v>
      </c>
      <c r="B289" s="2" t="s">
        <v>39</v>
      </c>
      <c r="C289" s="2" t="s">
        <v>473</v>
      </c>
      <c r="D289" s="10" t="str">
        <f>IFERROR(_xlfn.XLOOKUP($A289&amp;"",Hoja1!$C$2:$C$253,Hoja1!$D$2:$D$253),IFERROR(_xlfn.XLOOKUP($A289,'Sucursales Empleado'!$A$2:$A$236,'Sucursales Empleado'!$B$2:$B$236),""))</f>
        <v>Parmessano Gran Estacion</v>
      </c>
    </row>
    <row r="290" spans="1:4" ht="20.100000000000001" hidden="1" customHeight="1" x14ac:dyDescent="0.45">
      <c r="A290" s="3">
        <v>5822112</v>
      </c>
      <c r="B290" s="2" t="s">
        <v>37</v>
      </c>
      <c r="C290" s="2" t="s">
        <v>471</v>
      </c>
      <c r="D290" s="10" t="str">
        <f>IFERROR(_xlfn.XLOOKUP($A290&amp;"",Hoja1!$C$2:$C$253,Hoja1!$D$2:$D$253),IFERROR(_xlfn.XLOOKUP($A290,'Sucursales Empleado'!$A$2:$A$236,'Sucursales Empleado'!$B$2:$B$236),""))</f>
        <v>Parmessano Gran Estacion</v>
      </c>
    </row>
    <row r="291" spans="1:4" ht="20.100000000000001" hidden="1" customHeight="1" x14ac:dyDescent="0.45">
      <c r="A291" s="3">
        <v>57106601</v>
      </c>
      <c r="B291" s="2" t="s">
        <v>42</v>
      </c>
      <c r="C291" s="2" t="s">
        <v>472</v>
      </c>
      <c r="D291" s="10" t="str">
        <f>IFERROR(_xlfn.XLOOKUP($A291&amp;"",Hoja1!$C$2:$C$253,Hoja1!$D$2:$D$253),IFERROR(_xlfn.XLOOKUP($A291,'Sucursales Empleado'!$A$2:$A$236,'Sucursales Empleado'!$B$2:$B$236),""))</f>
        <v>Parmessano Gran Estacion</v>
      </c>
    </row>
    <row r="292" spans="1:4" ht="20.100000000000001" hidden="1" customHeight="1" x14ac:dyDescent="0.45">
      <c r="A292" s="3">
        <v>57106601</v>
      </c>
      <c r="B292" s="2" t="s">
        <v>40</v>
      </c>
      <c r="C292" s="2" t="s">
        <v>471</v>
      </c>
      <c r="D292" s="10" t="str">
        <f>IFERROR(_xlfn.XLOOKUP($A292&amp;"",Hoja1!$C$2:$C$253,Hoja1!$D$2:$D$253),IFERROR(_xlfn.XLOOKUP($A292,'Sucursales Empleado'!$A$2:$A$236,'Sucursales Empleado'!$B$2:$B$236),""))</f>
        <v>Parmessano Gran Estacion</v>
      </c>
    </row>
    <row r="293" spans="1:4" ht="20.100000000000001" hidden="1" customHeight="1" x14ac:dyDescent="0.45">
      <c r="A293" s="3">
        <v>57106601</v>
      </c>
      <c r="B293" s="2" t="s">
        <v>41</v>
      </c>
      <c r="C293" s="2" t="s">
        <v>471</v>
      </c>
      <c r="D293" s="10" t="str">
        <f>IFERROR(_xlfn.XLOOKUP($A293&amp;"",Hoja1!$C$2:$C$253,Hoja1!$D$2:$D$253),IFERROR(_xlfn.XLOOKUP($A293,'Sucursales Empleado'!$A$2:$A$236,'Sucursales Empleado'!$B$2:$B$236),""))</f>
        <v>Parmessano Gran Estacion</v>
      </c>
    </row>
    <row r="294" spans="1:4" ht="20.100000000000001" hidden="1" customHeight="1" x14ac:dyDescent="0.45">
      <c r="A294" s="3">
        <v>57106601</v>
      </c>
      <c r="B294" s="2" t="s">
        <v>1251</v>
      </c>
      <c r="C294" s="2" t="s">
        <v>471</v>
      </c>
      <c r="D294" s="10" t="str">
        <f>IFERROR(_xlfn.XLOOKUP($A294&amp;"",Hoja1!$C$2:$C$253,Hoja1!$D$2:$D$253),IFERROR(_xlfn.XLOOKUP($A294,'Sucursales Empleado'!$A$2:$A$236,'Sucursales Empleado'!$B$2:$B$236),""))</f>
        <v>Parmessano Gran Estacion</v>
      </c>
    </row>
    <row r="295" spans="1:4" ht="20.100000000000001" hidden="1" customHeight="1" x14ac:dyDescent="0.45">
      <c r="A295" s="3">
        <v>57106601</v>
      </c>
      <c r="B295" s="2" t="s">
        <v>39</v>
      </c>
      <c r="C295" s="2" t="s">
        <v>471</v>
      </c>
      <c r="D295" s="10" t="str">
        <f>IFERROR(_xlfn.XLOOKUP($A295&amp;"",Hoja1!$C$2:$C$253,Hoja1!$D$2:$D$253),IFERROR(_xlfn.XLOOKUP($A295,'Sucursales Empleado'!$A$2:$A$236,'Sucursales Empleado'!$B$2:$B$236),""))</f>
        <v>Parmessano Gran Estacion</v>
      </c>
    </row>
    <row r="296" spans="1:4" ht="20.100000000000001" hidden="1" customHeight="1" x14ac:dyDescent="0.45">
      <c r="A296" s="3">
        <v>57106601</v>
      </c>
      <c r="B296" s="2" t="s">
        <v>37</v>
      </c>
      <c r="C296" s="2" t="s">
        <v>471</v>
      </c>
      <c r="D296" s="10" t="str">
        <f>IFERROR(_xlfn.XLOOKUP($A296&amp;"",Hoja1!$C$2:$C$253,Hoja1!$D$2:$D$253),IFERROR(_xlfn.XLOOKUP($A296,'Sucursales Empleado'!$A$2:$A$236,'Sucursales Empleado'!$B$2:$B$236),""))</f>
        <v>Parmessano Gran Estacion</v>
      </c>
    </row>
    <row r="297" spans="1:4" ht="20.100000000000001" hidden="1" customHeight="1" x14ac:dyDescent="0.45">
      <c r="A297" s="3">
        <v>1007538651</v>
      </c>
      <c r="B297" s="2" t="s">
        <v>42</v>
      </c>
      <c r="C297" s="2" t="s">
        <v>472</v>
      </c>
      <c r="D297" s="10" t="str">
        <f>IFERROR(_xlfn.XLOOKUP($A297&amp;"",Hoja1!$C$2:$C$253,Hoja1!$D$2:$D$253),IFERROR(_xlfn.XLOOKUP($A297,'Sucursales Empleado'!$A$2:$A$236,'Sucursales Empleado'!$B$2:$B$236),""))</f>
        <v>Parmessano Gran Estacion</v>
      </c>
    </row>
    <row r="298" spans="1:4" ht="20.100000000000001" hidden="1" customHeight="1" x14ac:dyDescent="0.45">
      <c r="A298" s="3">
        <v>1007538651</v>
      </c>
      <c r="B298" s="2" t="s">
        <v>40</v>
      </c>
      <c r="C298" s="2" t="s">
        <v>472</v>
      </c>
      <c r="D298" s="10" t="str">
        <f>IFERROR(_xlfn.XLOOKUP($A298&amp;"",Hoja1!$C$2:$C$253,Hoja1!$D$2:$D$253),IFERROR(_xlfn.XLOOKUP($A298,'Sucursales Empleado'!$A$2:$A$236,'Sucursales Empleado'!$B$2:$B$236),""))</f>
        <v>Parmessano Gran Estacion</v>
      </c>
    </row>
    <row r="299" spans="1:4" ht="20.100000000000001" hidden="1" customHeight="1" x14ac:dyDescent="0.45">
      <c r="A299" s="3">
        <v>1007538651</v>
      </c>
      <c r="B299" s="2" t="s">
        <v>41</v>
      </c>
      <c r="C299" s="2" t="s">
        <v>472</v>
      </c>
      <c r="D299" s="10" t="str">
        <f>IFERROR(_xlfn.XLOOKUP($A299&amp;"",Hoja1!$C$2:$C$253,Hoja1!$D$2:$D$253),IFERROR(_xlfn.XLOOKUP($A299,'Sucursales Empleado'!$A$2:$A$236,'Sucursales Empleado'!$B$2:$B$236),""))</f>
        <v>Parmessano Gran Estacion</v>
      </c>
    </row>
    <row r="300" spans="1:4" ht="20.100000000000001" hidden="1" customHeight="1" x14ac:dyDescent="0.45">
      <c r="A300" s="3">
        <v>1007538651</v>
      </c>
      <c r="B300" s="2" t="s">
        <v>1251</v>
      </c>
      <c r="C300" s="2" t="s">
        <v>473</v>
      </c>
      <c r="D300" s="10" t="str">
        <f>IFERROR(_xlfn.XLOOKUP($A300&amp;"",Hoja1!$C$2:$C$253,Hoja1!$D$2:$D$253),IFERROR(_xlfn.XLOOKUP($A300,'Sucursales Empleado'!$A$2:$A$236,'Sucursales Empleado'!$B$2:$B$236),""))</f>
        <v>Parmessano Gran Estacion</v>
      </c>
    </row>
    <row r="301" spans="1:4" ht="20.100000000000001" hidden="1" customHeight="1" x14ac:dyDescent="0.45">
      <c r="A301" s="3">
        <v>1007538651</v>
      </c>
      <c r="B301" s="2" t="s">
        <v>39</v>
      </c>
      <c r="C301" s="2" t="s">
        <v>473</v>
      </c>
      <c r="D301" s="10" t="str">
        <f>IFERROR(_xlfn.XLOOKUP($A301&amp;"",Hoja1!$C$2:$C$253,Hoja1!$D$2:$D$253),IFERROR(_xlfn.XLOOKUP($A301,'Sucursales Empleado'!$A$2:$A$236,'Sucursales Empleado'!$B$2:$B$236),""))</f>
        <v>Parmessano Gran Estacion</v>
      </c>
    </row>
    <row r="302" spans="1:4" ht="20.100000000000001" hidden="1" customHeight="1" x14ac:dyDescent="0.45">
      <c r="A302" s="3">
        <v>1007538651</v>
      </c>
      <c r="B302" s="2" t="s">
        <v>37</v>
      </c>
      <c r="C302" s="2" t="s">
        <v>472</v>
      </c>
      <c r="D302" s="10" t="str">
        <f>IFERROR(_xlfn.XLOOKUP($A302&amp;"",Hoja1!$C$2:$C$253,Hoja1!$D$2:$D$253),IFERROR(_xlfn.XLOOKUP($A302,'Sucursales Empleado'!$A$2:$A$236,'Sucursales Empleado'!$B$2:$B$236),""))</f>
        <v>Parmessano Gran Estacion</v>
      </c>
    </row>
    <row r="303" spans="1:4" ht="20.100000000000001" hidden="1" customHeight="1" x14ac:dyDescent="0.45">
      <c r="A303" s="3">
        <v>1015437394</v>
      </c>
      <c r="B303" s="2" t="s">
        <v>42</v>
      </c>
      <c r="C303" s="2" t="s">
        <v>471</v>
      </c>
      <c r="D303" s="10" t="str">
        <f>IFERROR(_xlfn.XLOOKUP($A303&amp;"",Hoja1!$C$2:$C$253,Hoja1!$D$2:$D$253),IFERROR(_xlfn.XLOOKUP($A303,'Sucursales Empleado'!$A$2:$A$236,'Sucursales Empleado'!$B$2:$B$236),""))</f>
        <v>Parmessano Gran Estacion</v>
      </c>
    </row>
    <row r="304" spans="1:4" ht="20.100000000000001" hidden="1" customHeight="1" x14ac:dyDescent="0.45">
      <c r="A304" s="3">
        <v>1015437394</v>
      </c>
      <c r="B304" s="2" t="s">
        <v>40</v>
      </c>
      <c r="C304" s="2" t="s">
        <v>471</v>
      </c>
      <c r="D304" s="10" t="str">
        <f>IFERROR(_xlfn.XLOOKUP($A304&amp;"",Hoja1!$C$2:$C$253,Hoja1!$D$2:$D$253),IFERROR(_xlfn.XLOOKUP($A304,'Sucursales Empleado'!$A$2:$A$236,'Sucursales Empleado'!$B$2:$B$236),""))</f>
        <v>Parmessano Gran Estacion</v>
      </c>
    </row>
    <row r="305" spans="1:4" ht="20.100000000000001" hidden="1" customHeight="1" x14ac:dyDescent="0.45">
      <c r="A305" s="3">
        <v>1015437394</v>
      </c>
      <c r="B305" s="2" t="s">
        <v>41</v>
      </c>
      <c r="C305" s="2" t="s">
        <v>473</v>
      </c>
      <c r="D305" s="10" t="str">
        <f>IFERROR(_xlfn.XLOOKUP($A305&amp;"",Hoja1!$C$2:$C$253,Hoja1!$D$2:$D$253),IFERROR(_xlfn.XLOOKUP($A305,'Sucursales Empleado'!$A$2:$A$236,'Sucursales Empleado'!$B$2:$B$236),""))</f>
        <v>Parmessano Gran Estacion</v>
      </c>
    </row>
    <row r="306" spans="1:4" ht="20.100000000000001" hidden="1" customHeight="1" x14ac:dyDescent="0.45">
      <c r="A306" s="3">
        <v>1015437394</v>
      </c>
      <c r="B306" s="2" t="s">
        <v>1251</v>
      </c>
      <c r="C306" s="2" t="s">
        <v>472</v>
      </c>
      <c r="D306" s="10" t="str">
        <f>IFERROR(_xlfn.XLOOKUP($A306&amp;"",Hoja1!$C$2:$C$253,Hoja1!$D$2:$D$253),IFERROR(_xlfn.XLOOKUP($A306,'Sucursales Empleado'!$A$2:$A$236,'Sucursales Empleado'!$B$2:$B$236),""))</f>
        <v>Parmessano Gran Estacion</v>
      </c>
    </row>
    <row r="307" spans="1:4" ht="20.100000000000001" hidden="1" customHeight="1" x14ac:dyDescent="0.45">
      <c r="A307" s="3">
        <v>1015437394</v>
      </c>
      <c r="B307" s="2" t="s">
        <v>39</v>
      </c>
      <c r="C307" s="2" t="s">
        <v>473</v>
      </c>
      <c r="D307" s="10" t="str">
        <f>IFERROR(_xlfn.XLOOKUP($A307&amp;"",Hoja1!$C$2:$C$253,Hoja1!$D$2:$D$253),IFERROR(_xlfn.XLOOKUP($A307,'Sucursales Empleado'!$A$2:$A$236,'Sucursales Empleado'!$B$2:$B$236),""))</f>
        <v>Parmessano Gran Estacion</v>
      </c>
    </row>
    <row r="308" spans="1:4" ht="20.100000000000001" hidden="1" customHeight="1" x14ac:dyDescent="0.45">
      <c r="A308" s="3">
        <v>1015437394</v>
      </c>
      <c r="B308" s="2" t="s">
        <v>37</v>
      </c>
      <c r="C308" s="2" t="s">
        <v>472</v>
      </c>
      <c r="D308" s="10" t="str">
        <f>IFERROR(_xlfn.XLOOKUP($A308&amp;"",Hoja1!$C$2:$C$253,Hoja1!$D$2:$D$253),IFERROR(_xlfn.XLOOKUP($A308,'Sucursales Empleado'!$A$2:$A$236,'Sucursales Empleado'!$B$2:$B$236),""))</f>
        <v>Parmessano Gran Estacion</v>
      </c>
    </row>
    <row r="309" spans="1:4" ht="20.100000000000001" hidden="1" customHeight="1" x14ac:dyDescent="0.45">
      <c r="A309" s="3">
        <v>1019100190</v>
      </c>
      <c r="B309" s="2" t="s">
        <v>42</v>
      </c>
      <c r="C309" s="2" t="s">
        <v>472</v>
      </c>
      <c r="D309" s="10" t="str">
        <f>IFERROR(_xlfn.XLOOKUP($A309&amp;"",Hoja1!$C$2:$C$253,Hoja1!$D$2:$D$253),IFERROR(_xlfn.XLOOKUP($A309,'Sucursales Empleado'!$A$2:$A$236,'Sucursales Empleado'!$B$2:$B$236),""))</f>
        <v>Parmessano Gran Estacion</v>
      </c>
    </row>
    <row r="310" spans="1:4" ht="20.100000000000001" hidden="1" customHeight="1" x14ac:dyDescent="0.45">
      <c r="A310" s="3">
        <v>1019100190</v>
      </c>
      <c r="B310" s="2" t="s">
        <v>40</v>
      </c>
      <c r="C310" s="2" t="s">
        <v>472</v>
      </c>
      <c r="D310" s="10" t="str">
        <f>IFERROR(_xlfn.XLOOKUP($A310&amp;"",Hoja1!$C$2:$C$253,Hoja1!$D$2:$D$253),IFERROR(_xlfn.XLOOKUP($A310,'Sucursales Empleado'!$A$2:$A$236,'Sucursales Empleado'!$B$2:$B$236),""))</f>
        <v>Parmessano Gran Estacion</v>
      </c>
    </row>
    <row r="311" spans="1:4" ht="20.100000000000001" hidden="1" customHeight="1" x14ac:dyDescent="0.45">
      <c r="A311" s="3">
        <v>1019100190</v>
      </c>
      <c r="B311" s="2" t="s">
        <v>41</v>
      </c>
      <c r="C311" s="2" t="s">
        <v>472</v>
      </c>
      <c r="D311" s="10" t="str">
        <f>IFERROR(_xlfn.XLOOKUP($A311&amp;"",Hoja1!$C$2:$C$253,Hoja1!$D$2:$D$253),IFERROR(_xlfn.XLOOKUP($A311,'Sucursales Empleado'!$A$2:$A$236,'Sucursales Empleado'!$B$2:$B$236),""))</f>
        <v>Parmessano Gran Estacion</v>
      </c>
    </row>
    <row r="312" spans="1:4" ht="20.100000000000001" hidden="1" customHeight="1" x14ac:dyDescent="0.45">
      <c r="A312" s="3">
        <v>1019100190</v>
      </c>
      <c r="B312" s="2" t="s">
        <v>1251</v>
      </c>
      <c r="C312" s="2" t="s">
        <v>472</v>
      </c>
      <c r="D312" s="10" t="str">
        <f>IFERROR(_xlfn.XLOOKUP($A312&amp;"",Hoja1!$C$2:$C$253,Hoja1!$D$2:$D$253),IFERROR(_xlfn.XLOOKUP($A312,'Sucursales Empleado'!$A$2:$A$236,'Sucursales Empleado'!$B$2:$B$236),""))</f>
        <v>Parmessano Gran Estacion</v>
      </c>
    </row>
    <row r="313" spans="1:4" ht="20.100000000000001" hidden="1" customHeight="1" x14ac:dyDescent="0.45">
      <c r="A313" s="3">
        <v>1019100190</v>
      </c>
      <c r="B313" s="2" t="s">
        <v>39</v>
      </c>
      <c r="C313" s="2" t="s">
        <v>472</v>
      </c>
      <c r="D313" s="10" t="str">
        <f>IFERROR(_xlfn.XLOOKUP($A313&amp;"",Hoja1!$C$2:$C$253,Hoja1!$D$2:$D$253),IFERROR(_xlfn.XLOOKUP($A313,'Sucursales Empleado'!$A$2:$A$236,'Sucursales Empleado'!$B$2:$B$236),""))</f>
        <v>Parmessano Gran Estacion</v>
      </c>
    </row>
    <row r="314" spans="1:4" ht="20.100000000000001" hidden="1" customHeight="1" x14ac:dyDescent="0.45">
      <c r="A314" s="3">
        <v>1019100190</v>
      </c>
      <c r="B314" s="2" t="s">
        <v>37</v>
      </c>
      <c r="C314" s="2" t="s">
        <v>472</v>
      </c>
      <c r="D314" s="10" t="str">
        <f>IFERROR(_xlfn.XLOOKUP($A314&amp;"",Hoja1!$C$2:$C$253,Hoja1!$D$2:$D$253),IFERROR(_xlfn.XLOOKUP($A314,'Sucursales Empleado'!$A$2:$A$236,'Sucursales Empleado'!$B$2:$B$236),""))</f>
        <v>Parmessano Gran Estacion</v>
      </c>
    </row>
    <row r="315" spans="1:4" ht="20.100000000000001" hidden="1" customHeight="1" x14ac:dyDescent="0.45">
      <c r="A315" s="3">
        <v>1026291300</v>
      </c>
      <c r="B315" s="2" t="s">
        <v>42</v>
      </c>
      <c r="C315" s="2" t="s">
        <v>472</v>
      </c>
      <c r="D315" s="10" t="str">
        <f>IFERROR(_xlfn.XLOOKUP($A315&amp;"",Hoja1!$C$2:$C$253,Hoja1!$D$2:$D$253),IFERROR(_xlfn.XLOOKUP($A315,'Sucursales Empleado'!$A$2:$A$236,'Sucursales Empleado'!$B$2:$B$236),""))</f>
        <v>Parmessano Gran Estacion</v>
      </c>
    </row>
    <row r="316" spans="1:4" ht="20.100000000000001" hidden="1" customHeight="1" x14ac:dyDescent="0.45">
      <c r="A316" s="3">
        <v>1026291300</v>
      </c>
      <c r="B316" s="2" t="s">
        <v>40</v>
      </c>
      <c r="C316" s="2" t="s">
        <v>472</v>
      </c>
      <c r="D316" s="10" t="str">
        <f>IFERROR(_xlfn.XLOOKUP($A316&amp;"",Hoja1!$C$2:$C$253,Hoja1!$D$2:$D$253),IFERROR(_xlfn.XLOOKUP($A316,'Sucursales Empleado'!$A$2:$A$236,'Sucursales Empleado'!$B$2:$B$236),""))</f>
        <v>Parmessano Gran Estacion</v>
      </c>
    </row>
    <row r="317" spans="1:4" ht="20.100000000000001" hidden="1" customHeight="1" x14ac:dyDescent="0.45">
      <c r="A317" s="3">
        <v>1026291300</v>
      </c>
      <c r="B317" s="2" t="s">
        <v>41</v>
      </c>
      <c r="C317" s="2" t="s">
        <v>473</v>
      </c>
      <c r="D317" s="10" t="str">
        <f>IFERROR(_xlfn.XLOOKUP($A317&amp;"",Hoja1!$C$2:$C$253,Hoja1!$D$2:$D$253),IFERROR(_xlfn.XLOOKUP($A317,'Sucursales Empleado'!$A$2:$A$236,'Sucursales Empleado'!$B$2:$B$236),""))</f>
        <v>Parmessano Gran Estacion</v>
      </c>
    </row>
    <row r="318" spans="1:4" ht="20.100000000000001" hidden="1" customHeight="1" x14ac:dyDescent="0.45">
      <c r="A318" s="3">
        <v>1026291300</v>
      </c>
      <c r="B318" s="2" t="s">
        <v>1251</v>
      </c>
      <c r="C318" s="2" t="s">
        <v>471</v>
      </c>
      <c r="D318" s="10" t="str">
        <f>IFERROR(_xlfn.XLOOKUP($A318&amp;"",Hoja1!$C$2:$C$253,Hoja1!$D$2:$D$253),IFERROR(_xlfn.XLOOKUP($A318,'Sucursales Empleado'!$A$2:$A$236,'Sucursales Empleado'!$B$2:$B$236),""))</f>
        <v>Parmessano Gran Estacion</v>
      </c>
    </row>
    <row r="319" spans="1:4" ht="20.100000000000001" hidden="1" customHeight="1" x14ac:dyDescent="0.45">
      <c r="A319" s="3">
        <v>1026291300</v>
      </c>
      <c r="B319" s="2" t="s">
        <v>39</v>
      </c>
      <c r="C319" s="2" t="s">
        <v>473</v>
      </c>
      <c r="D319" s="10" t="str">
        <f>IFERROR(_xlfn.XLOOKUP($A319&amp;"",Hoja1!$C$2:$C$253,Hoja1!$D$2:$D$253),IFERROR(_xlfn.XLOOKUP($A319,'Sucursales Empleado'!$A$2:$A$236,'Sucursales Empleado'!$B$2:$B$236),""))</f>
        <v>Parmessano Gran Estacion</v>
      </c>
    </row>
    <row r="320" spans="1:4" ht="20.100000000000001" hidden="1" customHeight="1" x14ac:dyDescent="0.45">
      <c r="A320" s="3">
        <v>1026291300</v>
      </c>
      <c r="B320" s="2" t="s">
        <v>37</v>
      </c>
      <c r="C320" s="2" t="s">
        <v>471</v>
      </c>
      <c r="D320" s="10" t="str">
        <f>IFERROR(_xlfn.XLOOKUP($A320&amp;"",Hoja1!$C$2:$C$253,Hoja1!$D$2:$D$253),IFERROR(_xlfn.XLOOKUP($A320,'Sucursales Empleado'!$A$2:$A$236,'Sucursales Empleado'!$B$2:$B$236),""))</f>
        <v>Parmessano Gran Estacion</v>
      </c>
    </row>
    <row r="321" spans="1:4" ht="20.100000000000001" hidden="1" customHeight="1" x14ac:dyDescent="0.45">
      <c r="A321" s="3">
        <v>1059900742</v>
      </c>
      <c r="B321" s="2" t="s">
        <v>42</v>
      </c>
      <c r="C321" s="2" t="s">
        <v>472</v>
      </c>
      <c r="D321" s="10" t="str">
        <f>IFERROR(_xlfn.XLOOKUP($A321&amp;"",Hoja1!$C$2:$C$253,Hoja1!$D$2:$D$253),IFERROR(_xlfn.XLOOKUP($A321,'Sucursales Empleado'!$A$2:$A$236,'Sucursales Empleado'!$B$2:$B$236),""))</f>
        <v>Parmessano Gran Estacion</v>
      </c>
    </row>
    <row r="322" spans="1:4" ht="20.100000000000001" hidden="1" customHeight="1" x14ac:dyDescent="0.45">
      <c r="A322" s="3">
        <v>1059900742</v>
      </c>
      <c r="B322" s="2" t="s">
        <v>40</v>
      </c>
      <c r="C322" s="2" t="s">
        <v>473</v>
      </c>
      <c r="D322" s="10" t="str">
        <f>IFERROR(_xlfn.XLOOKUP($A322&amp;"",Hoja1!$C$2:$C$253,Hoja1!$D$2:$D$253),IFERROR(_xlfn.XLOOKUP($A322,'Sucursales Empleado'!$A$2:$A$236,'Sucursales Empleado'!$B$2:$B$236),""))</f>
        <v>Parmessano Gran Estacion</v>
      </c>
    </row>
    <row r="323" spans="1:4" ht="20.100000000000001" hidden="1" customHeight="1" x14ac:dyDescent="0.45">
      <c r="A323" s="3">
        <v>1059900742</v>
      </c>
      <c r="B323" s="2" t="s">
        <v>41</v>
      </c>
      <c r="C323" s="2" t="s">
        <v>473</v>
      </c>
      <c r="D323" s="10" t="str">
        <f>IFERROR(_xlfn.XLOOKUP($A323&amp;"",Hoja1!$C$2:$C$253,Hoja1!$D$2:$D$253),IFERROR(_xlfn.XLOOKUP($A323,'Sucursales Empleado'!$A$2:$A$236,'Sucursales Empleado'!$B$2:$B$236),""))</f>
        <v>Parmessano Gran Estacion</v>
      </c>
    </row>
    <row r="324" spans="1:4" ht="20.100000000000001" hidden="1" customHeight="1" x14ac:dyDescent="0.45">
      <c r="A324" s="3">
        <v>1059900742</v>
      </c>
      <c r="B324" s="2" t="s">
        <v>1251</v>
      </c>
      <c r="C324" s="2" t="s">
        <v>471</v>
      </c>
      <c r="D324" s="10" t="str">
        <f>IFERROR(_xlfn.XLOOKUP($A324&amp;"",Hoja1!$C$2:$C$253,Hoja1!$D$2:$D$253),IFERROR(_xlfn.XLOOKUP($A324,'Sucursales Empleado'!$A$2:$A$236,'Sucursales Empleado'!$B$2:$B$236),""))</f>
        <v>Parmessano Gran Estacion</v>
      </c>
    </row>
    <row r="325" spans="1:4" ht="20.100000000000001" hidden="1" customHeight="1" x14ac:dyDescent="0.45">
      <c r="A325" s="3">
        <v>1059900742</v>
      </c>
      <c r="B325" s="2" t="s">
        <v>39</v>
      </c>
      <c r="C325" s="2" t="s">
        <v>473</v>
      </c>
      <c r="D325" s="10" t="str">
        <f>IFERROR(_xlfn.XLOOKUP($A325&amp;"",Hoja1!$C$2:$C$253,Hoja1!$D$2:$D$253),IFERROR(_xlfn.XLOOKUP($A325,'Sucursales Empleado'!$A$2:$A$236,'Sucursales Empleado'!$B$2:$B$236),""))</f>
        <v>Parmessano Gran Estacion</v>
      </c>
    </row>
    <row r="326" spans="1:4" ht="20.100000000000001" hidden="1" customHeight="1" x14ac:dyDescent="0.45">
      <c r="A326" s="3">
        <v>1059900742</v>
      </c>
      <c r="B326" s="2" t="s">
        <v>37</v>
      </c>
      <c r="C326" s="2" t="s">
        <v>471</v>
      </c>
      <c r="D326" s="10" t="str">
        <f>IFERROR(_xlfn.XLOOKUP($A326&amp;"",Hoja1!$C$2:$C$253,Hoja1!$D$2:$D$253),IFERROR(_xlfn.XLOOKUP($A326,'Sucursales Empleado'!$A$2:$A$236,'Sucursales Empleado'!$B$2:$B$236),""))</f>
        <v>Parmessano Gran Estacion</v>
      </c>
    </row>
    <row r="327" spans="1:4" ht="20.100000000000001" hidden="1" customHeight="1" x14ac:dyDescent="0.45">
      <c r="A327" s="3">
        <v>1128420613</v>
      </c>
      <c r="B327" s="2" t="s">
        <v>42</v>
      </c>
      <c r="C327" s="2" t="s">
        <v>471</v>
      </c>
      <c r="D327" s="10" t="str">
        <f>IFERROR(_xlfn.XLOOKUP($A327&amp;"",Hoja1!$C$2:$C$253,Hoja1!$D$2:$D$253),IFERROR(_xlfn.XLOOKUP($A327,'Sucursales Empleado'!$A$2:$A$236,'Sucursales Empleado'!$B$2:$B$236),""))</f>
        <v>Parmessano Gran Estacion</v>
      </c>
    </row>
    <row r="328" spans="1:4" ht="20.100000000000001" hidden="1" customHeight="1" x14ac:dyDescent="0.45">
      <c r="A328" s="3">
        <v>1128420613</v>
      </c>
      <c r="B328" s="2" t="s">
        <v>40</v>
      </c>
      <c r="C328" s="2" t="s">
        <v>473</v>
      </c>
      <c r="D328" s="10" t="str">
        <f>IFERROR(_xlfn.XLOOKUP($A328&amp;"",Hoja1!$C$2:$C$253,Hoja1!$D$2:$D$253),IFERROR(_xlfn.XLOOKUP($A328,'Sucursales Empleado'!$A$2:$A$236,'Sucursales Empleado'!$B$2:$B$236),""))</f>
        <v>Parmessano Gran Estacion</v>
      </c>
    </row>
    <row r="329" spans="1:4" ht="20.100000000000001" hidden="1" customHeight="1" x14ac:dyDescent="0.45">
      <c r="A329" s="3">
        <v>1128420613</v>
      </c>
      <c r="B329" s="2" t="s">
        <v>41</v>
      </c>
      <c r="C329" s="2" t="s">
        <v>472</v>
      </c>
      <c r="D329" s="10" t="str">
        <f>IFERROR(_xlfn.XLOOKUP($A329&amp;"",Hoja1!$C$2:$C$253,Hoja1!$D$2:$D$253),IFERROR(_xlfn.XLOOKUP($A329,'Sucursales Empleado'!$A$2:$A$236,'Sucursales Empleado'!$B$2:$B$236),""))</f>
        <v>Parmessano Gran Estacion</v>
      </c>
    </row>
    <row r="330" spans="1:4" ht="20.100000000000001" hidden="1" customHeight="1" x14ac:dyDescent="0.45">
      <c r="A330" s="3">
        <v>1128420613</v>
      </c>
      <c r="B330" s="2" t="s">
        <v>1251</v>
      </c>
      <c r="C330" s="2" t="s">
        <v>471</v>
      </c>
      <c r="D330" s="10" t="str">
        <f>IFERROR(_xlfn.XLOOKUP($A330&amp;"",Hoja1!$C$2:$C$253,Hoja1!$D$2:$D$253),IFERROR(_xlfn.XLOOKUP($A330,'Sucursales Empleado'!$A$2:$A$236,'Sucursales Empleado'!$B$2:$B$236),""))</f>
        <v>Parmessano Gran Estacion</v>
      </c>
    </row>
    <row r="331" spans="1:4" ht="20.100000000000001" hidden="1" customHeight="1" x14ac:dyDescent="0.45">
      <c r="A331" s="3">
        <v>1128420613</v>
      </c>
      <c r="B331" s="2" t="s">
        <v>39</v>
      </c>
      <c r="C331" s="2" t="s">
        <v>472</v>
      </c>
      <c r="D331" s="10" t="str">
        <f>IFERROR(_xlfn.XLOOKUP($A331&amp;"",Hoja1!$C$2:$C$253,Hoja1!$D$2:$D$253),IFERROR(_xlfn.XLOOKUP($A331,'Sucursales Empleado'!$A$2:$A$236,'Sucursales Empleado'!$B$2:$B$236),""))</f>
        <v>Parmessano Gran Estacion</v>
      </c>
    </row>
    <row r="332" spans="1:4" ht="20.100000000000001" hidden="1" customHeight="1" x14ac:dyDescent="0.45">
      <c r="A332" s="3">
        <v>1128420613</v>
      </c>
      <c r="B332" s="2" t="s">
        <v>37</v>
      </c>
      <c r="C332" s="2" t="s">
        <v>473</v>
      </c>
      <c r="D332" s="10" t="str">
        <f>IFERROR(_xlfn.XLOOKUP($A332&amp;"",Hoja1!$C$2:$C$253,Hoja1!$D$2:$D$253),IFERROR(_xlfn.XLOOKUP($A332,'Sucursales Empleado'!$A$2:$A$236,'Sucursales Empleado'!$B$2:$B$236),""))</f>
        <v>Parmessano Gran Estacion</v>
      </c>
    </row>
    <row r="333" spans="1:4" ht="20.100000000000001" hidden="1" customHeight="1" x14ac:dyDescent="0.45">
      <c r="A333" s="3">
        <v>1143371733</v>
      </c>
      <c r="B333" s="2" t="s">
        <v>42</v>
      </c>
      <c r="C333" s="2" t="s">
        <v>471</v>
      </c>
      <c r="D333" s="10" t="str">
        <f>IFERROR(_xlfn.XLOOKUP($A333&amp;"",Hoja1!$C$2:$C$253,Hoja1!$D$2:$D$253),IFERROR(_xlfn.XLOOKUP($A333,'Sucursales Empleado'!$A$2:$A$236,'Sucursales Empleado'!$B$2:$B$236),""))</f>
        <v>Parmessano Gran Estacion</v>
      </c>
    </row>
    <row r="334" spans="1:4" ht="20.100000000000001" hidden="1" customHeight="1" x14ac:dyDescent="0.45">
      <c r="A334" s="3">
        <v>1143371733</v>
      </c>
      <c r="B334" s="2" t="s">
        <v>40</v>
      </c>
      <c r="C334" s="2" t="s">
        <v>473</v>
      </c>
      <c r="D334" s="10" t="str">
        <f>IFERROR(_xlfn.XLOOKUP($A334&amp;"",Hoja1!$C$2:$C$253,Hoja1!$D$2:$D$253),IFERROR(_xlfn.XLOOKUP($A334,'Sucursales Empleado'!$A$2:$A$236,'Sucursales Empleado'!$B$2:$B$236),""))</f>
        <v>Parmessano Gran Estacion</v>
      </c>
    </row>
    <row r="335" spans="1:4" ht="20.100000000000001" hidden="1" customHeight="1" x14ac:dyDescent="0.45">
      <c r="A335" s="3">
        <v>1143371733</v>
      </c>
      <c r="B335" s="2" t="s">
        <v>41</v>
      </c>
      <c r="C335" s="2" t="s">
        <v>473</v>
      </c>
      <c r="D335" s="10" t="str">
        <f>IFERROR(_xlfn.XLOOKUP($A335&amp;"",Hoja1!$C$2:$C$253,Hoja1!$D$2:$D$253),IFERROR(_xlfn.XLOOKUP($A335,'Sucursales Empleado'!$A$2:$A$236,'Sucursales Empleado'!$B$2:$B$236),""))</f>
        <v>Parmessano Gran Estacion</v>
      </c>
    </row>
    <row r="336" spans="1:4" ht="20.100000000000001" hidden="1" customHeight="1" x14ac:dyDescent="0.45">
      <c r="A336" s="3">
        <v>1143371733</v>
      </c>
      <c r="B336" s="2" t="s">
        <v>1251</v>
      </c>
      <c r="C336" s="2" t="s">
        <v>472</v>
      </c>
      <c r="D336" s="10" t="str">
        <f>IFERROR(_xlfn.XLOOKUP($A336&amp;"",Hoja1!$C$2:$C$253,Hoja1!$D$2:$D$253),IFERROR(_xlfn.XLOOKUP($A336,'Sucursales Empleado'!$A$2:$A$236,'Sucursales Empleado'!$B$2:$B$236),""))</f>
        <v>Parmessano Gran Estacion</v>
      </c>
    </row>
    <row r="337" spans="1:4" ht="20.100000000000001" hidden="1" customHeight="1" x14ac:dyDescent="0.45">
      <c r="A337" s="3">
        <v>1143371733</v>
      </c>
      <c r="B337" s="2" t="s">
        <v>39</v>
      </c>
      <c r="C337" s="2" t="s">
        <v>473</v>
      </c>
      <c r="D337" s="10" t="str">
        <f>IFERROR(_xlfn.XLOOKUP($A337&amp;"",Hoja1!$C$2:$C$253,Hoja1!$D$2:$D$253),IFERROR(_xlfn.XLOOKUP($A337,'Sucursales Empleado'!$A$2:$A$236,'Sucursales Empleado'!$B$2:$B$236),""))</f>
        <v>Parmessano Gran Estacion</v>
      </c>
    </row>
    <row r="338" spans="1:4" ht="20.100000000000001" hidden="1" customHeight="1" x14ac:dyDescent="0.45">
      <c r="A338" s="3">
        <v>1143371733</v>
      </c>
      <c r="B338" s="2" t="s">
        <v>37</v>
      </c>
      <c r="C338" s="2" t="s">
        <v>473</v>
      </c>
      <c r="D338" s="10" t="str">
        <f>IFERROR(_xlfn.XLOOKUP($A338&amp;"",Hoja1!$C$2:$C$253,Hoja1!$D$2:$D$253),IFERROR(_xlfn.XLOOKUP($A338,'Sucursales Empleado'!$A$2:$A$236,'Sucursales Empleado'!$B$2:$B$236),""))</f>
        <v>Parmessano Gran Estacion</v>
      </c>
    </row>
    <row r="339" spans="1:4" ht="20.100000000000001" hidden="1" customHeight="1" x14ac:dyDescent="0.45">
      <c r="A339" s="3">
        <v>20730598</v>
      </c>
      <c r="B339" s="2" t="s">
        <v>50</v>
      </c>
      <c r="C339" s="2" t="s">
        <v>472</v>
      </c>
      <c r="D339" s="10" t="str">
        <f>IFERROR(_xlfn.XLOOKUP($A339&amp;"",Hoja1!$C$2:$C$253,Hoja1!$D$2:$D$253),IFERROR(_xlfn.XLOOKUP($A339,'Sucursales Empleado'!$A$2:$A$236,'Sucursales Empleado'!$B$2:$B$236),""))</f>
        <v>Parmessano Gran Estacion</v>
      </c>
    </row>
    <row r="340" spans="1:4" ht="20.100000000000001" hidden="1" customHeight="1" x14ac:dyDescent="0.45">
      <c r="A340" s="3">
        <v>20730598</v>
      </c>
      <c r="B340" s="2" t="s">
        <v>1253</v>
      </c>
      <c r="C340" s="2" t="s">
        <v>472</v>
      </c>
      <c r="D340" s="10" t="str">
        <f>IFERROR(_xlfn.XLOOKUP($A340&amp;"",Hoja1!$C$2:$C$253,Hoja1!$D$2:$D$253),IFERROR(_xlfn.XLOOKUP($A340,'Sucursales Empleado'!$A$2:$A$236,'Sucursales Empleado'!$B$2:$B$236),""))</f>
        <v>Parmessano Gran Estacion</v>
      </c>
    </row>
    <row r="341" spans="1:4" ht="20.100000000000001" hidden="1" customHeight="1" x14ac:dyDescent="0.45">
      <c r="A341" s="3">
        <v>20730598</v>
      </c>
      <c r="B341" s="2" t="s">
        <v>51</v>
      </c>
      <c r="C341" s="2" t="s">
        <v>472</v>
      </c>
      <c r="D341" s="10" t="str">
        <f>IFERROR(_xlfn.XLOOKUP($A341&amp;"",Hoja1!$C$2:$C$253,Hoja1!$D$2:$D$253),IFERROR(_xlfn.XLOOKUP($A341,'Sucursales Empleado'!$A$2:$A$236,'Sucursales Empleado'!$B$2:$B$236),""))</f>
        <v>Parmessano Gran Estacion</v>
      </c>
    </row>
    <row r="342" spans="1:4" ht="20.100000000000001" hidden="1" customHeight="1" x14ac:dyDescent="0.45">
      <c r="A342" s="3">
        <v>80129544</v>
      </c>
      <c r="B342" s="2" t="s">
        <v>53</v>
      </c>
      <c r="C342" s="2" t="s">
        <v>472</v>
      </c>
      <c r="D342" s="10" t="str">
        <f>IFERROR(_xlfn.XLOOKUP($A342&amp;"",Hoja1!$C$2:$C$253,Hoja1!$D$2:$D$253),IFERROR(_xlfn.XLOOKUP($A342,'Sucursales Empleado'!$A$2:$A$236,'Sucursales Empleado'!$B$2:$B$236),""))</f>
        <v>Parmessano Gran Estacion</v>
      </c>
    </row>
    <row r="343" spans="1:4" ht="20.100000000000001" hidden="1" customHeight="1" x14ac:dyDescent="0.45">
      <c r="A343" s="3">
        <v>80129544</v>
      </c>
      <c r="B343" s="2" t="s">
        <v>1251</v>
      </c>
      <c r="C343" s="2" t="s">
        <v>472</v>
      </c>
      <c r="D343" s="10" t="str">
        <f>IFERROR(_xlfn.XLOOKUP($A343&amp;"",Hoja1!$C$2:$C$253,Hoja1!$D$2:$D$253),IFERROR(_xlfn.XLOOKUP($A343,'Sucursales Empleado'!$A$2:$A$236,'Sucursales Empleado'!$B$2:$B$236),""))</f>
        <v>Parmessano Gran Estacion</v>
      </c>
    </row>
    <row r="344" spans="1:4" ht="20.100000000000001" hidden="1" customHeight="1" x14ac:dyDescent="0.45">
      <c r="A344" s="3">
        <v>80129544</v>
      </c>
      <c r="B344" s="2" t="s">
        <v>1253</v>
      </c>
      <c r="C344" s="2" t="s">
        <v>472</v>
      </c>
      <c r="D344" s="10" t="str">
        <f>IFERROR(_xlfn.XLOOKUP($A344&amp;"",Hoja1!$C$2:$C$253,Hoja1!$D$2:$D$253),IFERROR(_xlfn.XLOOKUP($A344,'Sucursales Empleado'!$A$2:$A$236,'Sucursales Empleado'!$B$2:$B$236),""))</f>
        <v>Parmessano Gran Estacion</v>
      </c>
    </row>
    <row r="345" spans="1:4" ht="20.100000000000001" hidden="1" customHeight="1" x14ac:dyDescent="0.45">
      <c r="A345" s="3">
        <v>1024523780</v>
      </c>
      <c r="B345" s="2" t="s">
        <v>53</v>
      </c>
      <c r="C345" s="2" t="s">
        <v>472</v>
      </c>
      <c r="D345" s="10" t="str">
        <f>IFERROR(_xlfn.XLOOKUP($A345&amp;"",Hoja1!$C$2:$C$253,Hoja1!$D$2:$D$253),IFERROR(_xlfn.XLOOKUP($A345,'Sucursales Empleado'!$A$2:$A$236,'Sucursales Empleado'!$B$2:$B$236),""))</f>
        <v>Parmessano Gran Estacion</v>
      </c>
    </row>
    <row r="346" spans="1:4" ht="20.100000000000001" hidden="1" customHeight="1" x14ac:dyDescent="0.45">
      <c r="A346" s="3">
        <v>1024523780</v>
      </c>
      <c r="B346" s="2" t="s">
        <v>1251</v>
      </c>
      <c r="C346" s="2" t="s">
        <v>472</v>
      </c>
      <c r="D346" s="10" t="str">
        <f>IFERROR(_xlfn.XLOOKUP($A346&amp;"",Hoja1!$C$2:$C$253,Hoja1!$D$2:$D$253),IFERROR(_xlfn.XLOOKUP($A346,'Sucursales Empleado'!$A$2:$A$236,'Sucursales Empleado'!$B$2:$B$236),""))</f>
        <v>Parmessano Gran Estacion</v>
      </c>
    </row>
    <row r="347" spans="1:4" ht="20.100000000000001" hidden="1" customHeight="1" x14ac:dyDescent="0.45">
      <c r="A347" s="3">
        <v>1024523780</v>
      </c>
      <c r="B347" s="2" t="s">
        <v>1253</v>
      </c>
      <c r="C347" s="2" t="s">
        <v>472</v>
      </c>
      <c r="D347" s="10" t="str">
        <f>IFERROR(_xlfn.XLOOKUP($A347&amp;"",Hoja1!$C$2:$C$253,Hoja1!$D$2:$D$253),IFERROR(_xlfn.XLOOKUP($A347,'Sucursales Empleado'!$A$2:$A$236,'Sucursales Empleado'!$B$2:$B$236),""))</f>
        <v>Parmessano Gran Estacion</v>
      </c>
    </row>
    <row r="348" spans="1:4" ht="20.100000000000001" hidden="1" customHeight="1" x14ac:dyDescent="0.45">
      <c r="A348" s="3">
        <v>80144442</v>
      </c>
      <c r="B348" s="2" t="s">
        <v>53</v>
      </c>
      <c r="C348" s="2" t="s">
        <v>472</v>
      </c>
      <c r="D348" s="10" t="str">
        <f>IFERROR(_xlfn.XLOOKUP($A348&amp;"",Hoja1!$C$2:$C$253,Hoja1!$D$2:$D$253),IFERROR(_xlfn.XLOOKUP($A348,'Sucursales Empleado'!$A$2:$A$236,'Sucursales Empleado'!$B$2:$B$236),""))</f>
        <v>Parmessano Gran Estacion</v>
      </c>
    </row>
    <row r="349" spans="1:4" ht="20.100000000000001" hidden="1" customHeight="1" x14ac:dyDescent="0.45">
      <c r="A349" s="3">
        <v>80144442</v>
      </c>
      <c r="B349" s="2" t="s">
        <v>1251</v>
      </c>
      <c r="C349" s="2" t="s">
        <v>472</v>
      </c>
      <c r="D349" s="10" t="str">
        <f>IFERROR(_xlfn.XLOOKUP($A349&amp;"",Hoja1!$C$2:$C$253,Hoja1!$D$2:$D$253),IFERROR(_xlfn.XLOOKUP($A349,'Sucursales Empleado'!$A$2:$A$236,'Sucursales Empleado'!$B$2:$B$236),""))</f>
        <v>Parmessano Gran Estacion</v>
      </c>
    </row>
    <row r="350" spans="1:4" ht="20.100000000000001" hidden="1" customHeight="1" x14ac:dyDescent="0.45">
      <c r="A350" s="3">
        <v>80144442</v>
      </c>
      <c r="B350" s="2" t="s">
        <v>1253</v>
      </c>
      <c r="C350" s="2" t="s">
        <v>472</v>
      </c>
      <c r="D350" s="10" t="str">
        <f>IFERROR(_xlfn.XLOOKUP($A350&amp;"",Hoja1!$C$2:$C$253,Hoja1!$D$2:$D$253),IFERROR(_xlfn.XLOOKUP($A350,'Sucursales Empleado'!$A$2:$A$236,'Sucursales Empleado'!$B$2:$B$236),""))</f>
        <v>Parmessano Gran Estacion</v>
      </c>
    </row>
    <row r="351" spans="1:4" ht="20.100000000000001" hidden="1" customHeight="1" x14ac:dyDescent="0.45">
      <c r="A351" s="3">
        <v>1079177988</v>
      </c>
      <c r="B351" s="2" t="s">
        <v>55</v>
      </c>
      <c r="C351" s="2" t="s">
        <v>472</v>
      </c>
      <c r="D351" s="10" t="str">
        <f>IFERROR(_xlfn.XLOOKUP($A351&amp;"",Hoja1!$C$2:$C$253,Hoja1!$D$2:$D$253),IFERROR(_xlfn.XLOOKUP($A351,'Sucursales Empleado'!$A$2:$A$236,'Sucursales Empleado'!$B$2:$B$236),""))</f>
        <v>Parmessano Gran Estacion</v>
      </c>
    </row>
    <row r="352" spans="1:4" ht="20.100000000000001" hidden="1" customHeight="1" x14ac:dyDescent="0.45">
      <c r="A352" s="3">
        <v>1013630759</v>
      </c>
      <c r="B352" s="2" t="s">
        <v>50</v>
      </c>
      <c r="C352" s="2" t="s">
        <v>472</v>
      </c>
      <c r="D352" s="10" t="str">
        <f>IFERROR(_xlfn.XLOOKUP($A352&amp;"",Hoja1!$C$2:$C$253,Hoja1!$D$2:$D$253),IFERROR(_xlfn.XLOOKUP($A352,'Sucursales Empleado'!$A$2:$A$236,'Sucursales Empleado'!$B$2:$B$236),""))</f>
        <v>Parmessano Gran Estacion</v>
      </c>
    </row>
    <row r="353" spans="1:4" ht="20.100000000000001" hidden="1" customHeight="1" x14ac:dyDescent="0.45">
      <c r="A353" s="3">
        <v>1013630759</v>
      </c>
      <c r="B353" s="2" t="s">
        <v>1253</v>
      </c>
      <c r="C353" s="2" t="s">
        <v>472</v>
      </c>
      <c r="D353" s="10" t="str">
        <f>IFERROR(_xlfn.XLOOKUP($A353&amp;"",Hoja1!$C$2:$C$253,Hoja1!$D$2:$D$253),IFERROR(_xlfn.XLOOKUP($A353,'Sucursales Empleado'!$A$2:$A$236,'Sucursales Empleado'!$B$2:$B$236),""))</f>
        <v>Parmessano Gran Estacion</v>
      </c>
    </row>
    <row r="354" spans="1:4" ht="20.100000000000001" hidden="1" customHeight="1" x14ac:dyDescent="0.45">
      <c r="A354" s="3">
        <v>1013630759</v>
      </c>
      <c r="B354" s="2" t="s">
        <v>51</v>
      </c>
      <c r="C354" s="2" t="s">
        <v>472</v>
      </c>
      <c r="D354" s="10" t="str">
        <f>IFERROR(_xlfn.XLOOKUP($A354&amp;"",Hoja1!$C$2:$C$253,Hoja1!$D$2:$D$253),IFERROR(_xlfn.XLOOKUP($A354,'Sucursales Empleado'!$A$2:$A$236,'Sucursales Empleado'!$B$2:$B$236),""))</f>
        <v>Parmessano Gran Estacion</v>
      </c>
    </row>
    <row r="355" spans="1:4" ht="20.100000000000001" hidden="1" customHeight="1" x14ac:dyDescent="0.45">
      <c r="A355" s="3">
        <v>1020737142</v>
      </c>
      <c r="B355" s="2" t="s">
        <v>47</v>
      </c>
      <c r="C355" s="2" t="s">
        <v>472</v>
      </c>
      <c r="D355" s="10" t="str">
        <f>IFERROR(_xlfn.XLOOKUP($A355&amp;"",Hoja1!$C$2:$C$253,Hoja1!$D$2:$D$253),IFERROR(_xlfn.XLOOKUP($A355,'Sucursales Empleado'!$A$2:$A$236,'Sucursales Empleado'!$B$2:$B$236),""))</f>
        <v>Parmessano Gran Estacion</v>
      </c>
    </row>
    <row r="356" spans="1:4" ht="20.100000000000001" hidden="1" customHeight="1" x14ac:dyDescent="0.45">
      <c r="A356" s="3">
        <v>1020737142</v>
      </c>
      <c r="B356" s="2" t="s">
        <v>48</v>
      </c>
      <c r="C356" s="2" t="s">
        <v>472</v>
      </c>
      <c r="D356" s="10" t="str">
        <f>IFERROR(_xlfn.XLOOKUP($A356&amp;"",Hoja1!$C$2:$C$253,Hoja1!$D$2:$D$253),IFERROR(_xlfn.XLOOKUP($A356,'Sucursales Empleado'!$A$2:$A$236,'Sucursales Empleado'!$B$2:$B$236),""))</f>
        <v>Parmessano Gran Estacion</v>
      </c>
    </row>
    <row r="357" spans="1:4" ht="20.100000000000001" hidden="1" customHeight="1" x14ac:dyDescent="0.45">
      <c r="A357" s="3">
        <v>7040622</v>
      </c>
      <c r="B357" s="2" t="s">
        <v>53</v>
      </c>
      <c r="C357" s="2" t="s">
        <v>472</v>
      </c>
      <c r="D357" s="10" t="str">
        <f>IFERROR(_xlfn.XLOOKUP($A357&amp;"",Hoja1!$C$2:$C$253,Hoja1!$D$2:$D$253),IFERROR(_xlfn.XLOOKUP($A357,'Sucursales Empleado'!$A$2:$A$236,'Sucursales Empleado'!$B$2:$B$236),""))</f>
        <v>Parmessano Gran Estacion</v>
      </c>
    </row>
    <row r="358" spans="1:4" ht="20.100000000000001" hidden="1" customHeight="1" x14ac:dyDescent="0.45">
      <c r="A358" s="3">
        <v>7040622</v>
      </c>
      <c r="B358" s="2" t="s">
        <v>1251</v>
      </c>
      <c r="C358" s="2" t="s">
        <v>472</v>
      </c>
      <c r="D358" s="10" t="str">
        <f>IFERROR(_xlfn.XLOOKUP($A358&amp;"",Hoja1!$C$2:$C$253,Hoja1!$D$2:$D$253),IFERROR(_xlfn.XLOOKUP($A358,'Sucursales Empleado'!$A$2:$A$236,'Sucursales Empleado'!$B$2:$B$236),""))</f>
        <v>Parmessano Gran Estacion</v>
      </c>
    </row>
    <row r="359" spans="1:4" ht="20.100000000000001" hidden="1" customHeight="1" x14ac:dyDescent="0.45">
      <c r="A359" s="3">
        <v>7040622</v>
      </c>
      <c r="B359" s="2" t="s">
        <v>1253</v>
      </c>
      <c r="C359" s="2" t="s">
        <v>472</v>
      </c>
      <c r="D359" s="10" t="str">
        <f>IFERROR(_xlfn.XLOOKUP($A359&amp;"",Hoja1!$C$2:$C$253,Hoja1!$D$2:$D$253),IFERROR(_xlfn.XLOOKUP($A359,'Sucursales Empleado'!$A$2:$A$236,'Sucursales Empleado'!$B$2:$B$236),""))</f>
        <v>Parmessano Gran Estacion</v>
      </c>
    </row>
    <row r="360" spans="1:4" ht="20.100000000000001" hidden="1" customHeight="1" x14ac:dyDescent="0.45">
      <c r="A360" s="3">
        <v>1012442573</v>
      </c>
      <c r="B360" s="2" t="s">
        <v>47</v>
      </c>
      <c r="C360" s="2" t="s">
        <v>472</v>
      </c>
      <c r="D360" s="10" t="str">
        <f>IFERROR(_xlfn.XLOOKUP($A360&amp;"",Hoja1!$C$2:$C$253,Hoja1!$D$2:$D$253),IFERROR(_xlfn.XLOOKUP($A360,'Sucursales Empleado'!$A$2:$A$236,'Sucursales Empleado'!$B$2:$B$236),""))</f>
        <v>Parmessano Gran Estacion</v>
      </c>
    </row>
    <row r="361" spans="1:4" ht="20.100000000000001" hidden="1" customHeight="1" x14ac:dyDescent="0.45">
      <c r="A361" s="3">
        <v>1012442573</v>
      </c>
      <c r="B361" s="2" t="s">
        <v>48</v>
      </c>
      <c r="C361" s="2" t="s">
        <v>472</v>
      </c>
      <c r="D361" s="10" t="str">
        <f>IFERROR(_xlfn.XLOOKUP($A361&amp;"",Hoja1!$C$2:$C$253,Hoja1!$D$2:$D$253),IFERROR(_xlfn.XLOOKUP($A361,'Sucursales Empleado'!$A$2:$A$236,'Sucursales Empleado'!$B$2:$B$236),""))</f>
        <v>Parmessano Gran Estacion</v>
      </c>
    </row>
    <row r="362" spans="1:4" ht="20.100000000000001" hidden="1" customHeight="1" x14ac:dyDescent="0.45">
      <c r="A362" s="3">
        <v>80116306</v>
      </c>
      <c r="B362" s="2" t="s">
        <v>53</v>
      </c>
      <c r="C362" s="2" t="s">
        <v>472</v>
      </c>
      <c r="D362" s="10" t="str">
        <f>IFERROR(_xlfn.XLOOKUP($A362&amp;"",Hoja1!$C$2:$C$253,Hoja1!$D$2:$D$253),IFERROR(_xlfn.XLOOKUP($A362,'Sucursales Empleado'!$A$2:$A$236,'Sucursales Empleado'!$B$2:$B$236),""))</f>
        <v>Parmessano Gran Estacion</v>
      </c>
    </row>
    <row r="363" spans="1:4" ht="20.100000000000001" hidden="1" customHeight="1" x14ac:dyDescent="0.45">
      <c r="A363" s="3">
        <v>80116306</v>
      </c>
      <c r="B363" s="2" t="s">
        <v>1251</v>
      </c>
      <c r="C363" s="2" t="s">
        <v>472</v>
      </c>
      <c r="D363" s="10" t="str">
        <f>IFERROR(_xlfn.XLOOKUP($A363&amp;"",Hoja1!$C$2:$C$253,Hoja1!$D$2:$D$253),IFERROR(_xlfn.XLOOKUP($A363,'Sucursales Empleado'!$A$2:$A$236,'Sucursales Empleado'!$B$2:$B$236),""))</f>
        <v>Parmessano Gran Estacion</v>
      </c>
    </row>
    <row r="364" spans="1:4" ht="20.100000000000001" hidden="1" customHeight="1" x14ac:dyDescent="0.45">
      <c r="A364" s="3">
        <v>80116306</v>
      </c>
      <c r="B364" s="2" t="s">
        <v>1253</v>
      </c>
      <c r="C364" s="2" t="s">
        <v>472</v>
      </c>
      <c r="D364" s="10" t="str">
        <f>IFERROR(_xlfn.XLOOKUP($A364&amp;"",Hoja1!$C$2:$C$253,Hoja1!$D$2:$D$253),IFERROR(_xlfn.XLOOKUP($A364,'Sucursales Empleado'!$A$2:$A$236,'Sucursales Empleado'!$B$2:$B$236),""))</f>
        <v>Parmessano Gran Estacion</v>
      </c>
    </row>
    <row r="365" spans="1:4" ht="20.100000000000001" hidden="1" customHeight="1" x14ac:dyDescent="0.45">
      <c r="A365" s="3">
        <v>18465349</v>
      </c>
      <c r="B365" s="2" t="s">
        <v>53</v>
      </c>
      <c r="C365" s="2" t="s">
        <v>472</v>
      </c>
      <c r="D365" s="10" t="str">
        <f>IFERROR(_xlfn.XLOOKUP($A365&amp;"",Hoja1!$C$2:$C$253,Hoja1!$D$2:$D$253),IFERROR(_xlfn.XLOOKUP($A365,'Sucursales Empleado'!$A$2:$A$236,'Sucursales Empleado'!$B$2:$B$236),""))</f>
        <v>Parmessano Gran Estacion</v>
      </c>
    </row>
    <row r="366" spans="1:4" ht="20.100000000000001" hidden="1" customHeight="1" x14ac:dyDescent="0.45">
      <c r="A366" s="3">
        <v>18465349</v>
      </c>
      <c r="B366" s="2" t="s">
        <v>1251</v>
      </c>
      <c r="C366" s="2" t="s">
        <v>472</v>
      </c>
      <c r="D366" s="10" t="str">
        <f>IFERROR(_xlfn.XLOOKUP($A366&amp;"",Hoja1!$C$2:$C$253,Hoja1!$D$2:$D$253),IFERROR(_xlfn.XLOOKUP($A366,'Sucursales Empleado'!$A$2:$A$236,'Sucursales Empleado'!$B$2:$B$236),""))</f>
        <v>Parmessano Gran Estacion</v>
      </c>
    </row>
    <row r="367" spans="1:4" ht="20.100000000000001" hidden="1" customHeight="1" x14ac:dyDescent="0.45">
      <c r="A367" s="3">
        <v>18465349</v>
      </c>
      <c r="B367" s="2" t="s">
        <v>1253</v>
      </c>
      <c r="C367" s="2" t="s">
        <v>472</v>
      </c>
      <c r="D367" s="10" t="str">
        <f>IFERROR(_xlfn.XLOOKUP($A367&amp;"",Hoja1!$C$2:$C$253,Hoja1!$D$2:$D$253),IFERROR(_xlfn.XLOOKUP($A367,'Sucursales Empleado'!$A$2:$A$236,'Sucursales Empleado'!$B$2:$B$236),""))</f>
        <v>Parmessano Gran Estacion</v>
      </c>
    </row>
    <row r="368" spans="1:4" ht="20.100000000000001" hidden="1" customHeight="1" x14ac:dyDescent="0.45">
      <c r="A368" s="3">
        <v>5923325</v>
      </c>
      <c r="B368" s="2" t="s">
        <v>50</v>
      </c>
      <c r="C368" s="2" t="s">
        <v>472</v>
      </c>
      <c r="D368" s="10" t="str">
        <f>IFERROR(_xlfn.XLOOKUP($A368&amp;"",Hoja1!$C$2:$C$253,Hoja1!$D$2:$D$253),IFERROR(_xlfn.XLOOKUP($A368,'Sucursales Empleado'!$A$2:$A$236,'Sucursales Empleado'!$B$2:$B$236),""))</f>
        <v>Parmessano Gran Estacion</v>
      </c>
    </row>
    <row r="369" spans="1:4" ht="20.100000000000001" hidden="1" customHeight="1" x14ac:dyDescent="0.45">
      <c r="A369" s="3">
        <v>5923325</v>
      </c>
      <c r="B369" s="2" t="s">
        <v>1254</v>
      </c>
      <c r="C369" s="2" t="s">
        <v>472</v>
      </c>
      <c r="D369" s="10" t="str">
        <f>IFERROR(_xlfn.XLOOKUP($A369&amp;"",Hoja1!$C$2:$C$253,Hoja1!$D$2:$D$253),IFERROR(_xlfn.XLOOKUP($A369,'Sucursales Empleado'!$A$2:$A$236,'Sucursales Empleado'!$B$2:$B$236),""))</f>
        <v>Parmessano Gran Estacion</v>
      </c>
    </row>
    <row r="370" spans="1:4" ht="20.100000000000001" hidden="1" customHeight="1" x14ac:dyDescent="0.45">
      <c r="A370" s="3">
        <v>5923325</v>
      </c>
      <c r="B370" s="2" t="s">
        <v>51</v>
      </c>
      <c r="C370" s="2" t="s">
        <v>472</v>
      </c>
      <c r="D370" s="10" t="str">
        <f>IFERROR(_xlfn.XLOOKUP($A370&amp;"",Hoja1!$C$2:$C$253,Hoja1!$D$2:$D$253),IFERROR(_xlfn.XLOOKUP($A370,'Sucursales Empleado'!$A$2:$A$236,'Sucursales Empleado'!$B$2:$B$236),""))</f>
        <v>Parmessano Gran Estacion</v>
      </c>
    </row>
    <row r="371" spans="1:4" ht="20.100000000000001" hidden="1" customHeight="1" x14ac:dyDescent="0.45">
      <c r="A371" s="3">
        <v>1014295158</v>
      </c>
      <c r="B371" s="2" t="s">
        <v>53</v>
      </c>
      <c r="C371" s="2" t="s">
        <v>473</v>
      </c>
      <c r="D371" s="10" t="str">
        <f>IFERROR(_xlfn.XLOOKUP($A371&amp;"",Hoja1!$C$2:$C$253,Hoja1!$D$2:$D$253),IFERROR(_xlfn.XLOOKUP($A371,'Sucursales Empleado'!$A$2:$A$236,'Sucursales Empleado'!$B$2:$B$236),""))</f>
        <v>Parmessano Gran Estacion</v>
      </c>
    </row>
    <row r="372" spans="1:4" ht="20.100000000000001" hidden="1" customHeight="1" x14ac:dyDescent="0.45">
      <c r="A372" s="3">
        <v>1014295158</v>
      </c>
      <c r="B372" s="2" t="s">
        <v>1251</v>
      </c>
      <c r="C372" s="2" t="s">
        <v>472</v>
      </c>
      <c r="D372" s="10" t="str">
        <f>IFERROR(_xlfn.XLOOKUP($A372&amp;"",Hoja1!$C$2:$C$253,Hoja1!$D$2:$D$253),IFERROR(_xlfn.XLOOKUP($A372,'Sucursales Empleado'!$A$2:$A$236,'Sucursales Empleado'!$B$2:$B$236),""))</f>
        <v>Parmessano Gran Estacion</v>
      </c>
    </row>
    <row r="373" spans="1:4" ht="20.100000000000001" hidden="1" customHeight="1" x14ac:dyDescent="0.45">
      <c r="A373" s="3">
        <v>1024530726</v>
      </c>
      <c r="B373" s="2" t="s">
        <v>47</v>
      </c>
      <c r="C373" s="2" t="s">
        <v>471</v>
      </c>
      <c r="D373" s="10" t="str">
        <f>IFERROR(_xlfn.XLOOKUP($A373&amp;"",Hoja1!$C$2:$C$253,Hoja1!$D$2:$D$253),IFERROR(_xlfn.XLOOKUP($A373,'Sucursales Empleado'!$A$2:$A$236,'Sucursales Empleado'!$B$2:$B$236),""))</f>
        <v>Parmessano Gran Estacion</v>
      </c>
    </row>
    <row r="374" spans="1:4" ht="20.100000000000001" hidden="1" customHeight="1" x14ac:dyDescent="0.45">
      <c r="A374" s="3">
        <v>1024530726</v>
      </c>
      <c r="B374" s="2" t="s">
        <v>48</v>
      </c>
      <c r="C374" s="2" t="s">
        <v>471</v>
      </c>
      <c r="D374" s="10" t="str">
        <f>IFERROR(_xlfn.XLOOKUP($A374&amp;"",Hoja1!$C$2:$C$253,Hoja1!$D$2:$D$253),IFERROR(_xlfn.XLOOKUP($A374,'Sucursales Empleado'!$A$2:$A$236,'Sucursales Empleado'!$B$2:$B$236),""))</f>
        <v>Parmessano Gran Estacion</v>
      </c>
    </row>
    <row r="375" spans="1:4" ht="20.100000000000001" hidden="1" customHeight="1" x14ac:dyDescent="0.45">
      <c r="A375" s="3">
        <v>1001282010</v>
      </c>
      <c r="B375" s="2" t="s">
        <v>47</v>
      </c>
      <c r="C375" s="2" t="s">
        <v>471</v>
      </c>
      <c r="D375" s="10" t="str">
        <f>IFERROR(_xlfn.XLOOKUP($A375&amp;"",Hoja1!$C$2:$C$253,Hoja1!$D$2:$D$253),IFERROR(_xlfn.XLOOKUP($A375,'Sucursales Empleado'!$A$2:$A$236,'Sucursales Empleado'!$B$2:$B$236),""))</f>
        <v>Parmessano Gran Estacion</v>
      </c>
    </row>
    <row r="376" spans="1:4" ht="20.100000000000001" hidden="1" customHeight="1" x14ac:dyDescent="0.45">
      <c r="A376" s="3">
        <v>1001282010</v>
      </c>
      <c r="B376" s="2" t="s">
        <v>48</v>
      </c>
      <c r="C376" s="2" t="s">
        <v>471</v>
      </c>
      <c r="D376" s="10" t="str">
        <f>IFERROR(_xlfn.XLOOKUP($A376&amp;"",Hoja1!$C$2:$C$253,Hoja1!$D$2:$D$253),IFERROR(_xlfn.XLOOKUP($A376,'Sucursales Empleado'!$A$2:$A$236,'Sucursales Empleado'!$B$2:$B$236),""))</f>
        <v>Parmessano Gran Estacion</v>
      </c>
    </row>
    <row r="377" spans="1:4" ht="20.100000000000001" hidden="1" customHeight="1" x14ac:dyDescent="0.45">
      <c r="A377" s="3">
        <v>53098607</v>
      </c>
      <c r="B377" s="2" t="s">
        <v>53</v>
      </c>
      <c r="C377" s="2" t="s">
        <v>471</v>
      </c>
      <c r="D377" s="10" t="str">
        <f>IFERROR(_xlfn.XLOOKUP($A377&amp;"",Hoja1!$C$2:$C$253,Hoja1!$D$2:$D$253),IFERROR(_xlfn.XLOOKUP($A377,'Sucursales Empleado'!$A$2:$A$236,'Sucursales Empleado'!$B$2:$B$236),""))</f>
        <v>Parmessano Gran Estacion</v>
      </c>
    </row>
    <row r="378" spans="1:4" ht="20.100000000000001" hidden="1" customHeight="1" x14ac:dyDescent="0.45">
      <c r="A378" s="3">
        <v>53098607</v>
      </c>
      <c r="B378" s="2" t="s">
        <v>1251</v>
      </c>
      <c r="C378" s="2" t="s">
        <v>471</v>
      </c>
      <c r="D378" s="10" t="str">
        <f>IFERROR(_xlfn.XLOOKUP($A378&amp;"",Hoja1!$C$2:$C$253,Hoja1!$D$2:$D$253),IFERROR(_xlfn.XLOOKUP($A378,'Sucursales Empleado'!$A$2:$A$236,'Sucursales Empleado'!$B$2:$B$236),""))</f>
        <v>Parmessano Gran Estacion</v>
      </c>
    </row>
    <row r="379" spans="1:4" ht="20.100000000000001" hidden="1" customHeight="1" x14ac:dyDescent="0.45">
      <c r="A379" s="3">
        <v>53098607</v>
      </c>
      <c r="B379" s="2" t="s">
        <v>1253</v>
      </c>
      <c r="C379" s="2" t="s">
        <v>471</v>
      </c>
      <c r="D379" s="10" t="str">
        <f>IFERROR(_xlfn.XLOOKUP($A379&amp;"",Hoja1!$C$2:$C$253,Hoja1!$D$2:$D$253),IFERROR(_xlfn.XLOOKUP($A379,'Sucursales Empleado'!$A$2:$A$236,'Sucursales Empleado'!$B$2:$B$236),""))</f>
        <v>Parmessano Gran Estacion</v>
      </c>
    </row>
    <row r="380" spans="1:4" ht="20.100000000000001" hidden="1" customHeight="1" x14ac:dyDescent="0.45">
      <c r="A380" s="3">
        <v>1026560667</v>
      </c>
      <c r="B380" s="2" t="s">
        <v>50</v>
      </c>
      <c r="C380" s="2" t="s">
        <v>473</v>
      </c>
      <c r="D380" s="10" t="str">
        <f>IFERROR(_xlfn.XLOOKUP($A380&amp;"",Hoja1!$C$2:$C$253,Hoja1!$D$2:$D$253),IFERROR(_xlfn.XLOOKUP($A380,'Sucursales Empleado'!$A$2:$A$236,'Sucursales Empleado'!$B$2:$B$236),""))</f>
        <v>Parmessano Gran Estacion</v>
      </c>
    </row>
    <row r="381" spans="1:4" ht="20.100000000000001" hidden="1" customHeight="1" x14ac:dyDescent="0.45">
      <c r="A381" s="3">
        <v>1026560667</v>
      </c>
      <c r="B381" s="2" t="s">
        <v>1253</v>
      </c>
      <c r="C381" s="2" t="s">
        <v>473</v>
      </c>
      <c r="D381" s="10" t="str">
        <f>IFERROR(_xlfn.XLOOKUP($A381&amp;"",Hoja1!$C$2:$C$253,Hoja1!$D$2:$D$253),IFERROR(_xlfn.XLOOKUP($A381,'Sucursales Empleado'!$A$2:$A$236,'Sucursales Empleado'!$B$2:$B$236),""))</f>
        <v>Parmessano Gran Estacion</v>
      </c>
    </row>
    <row r="382" spans="1:4" ht="20.100000000000001" hidden="1" customHeight="1" x14ac:dyDescent="0.45">
      <c r="A382" s="3">
        <v>1026560667</v>
      </c>
      <c r="B382" s="2" t="s">
        <v>51</v>
      </c>
      <c r="C382" s="2" t="s">
        <v>473</v>
      </c>
      <c r="D382" s="10" t="str">
        <f>IFERROR(_xlfn.XLOOKUP($A382&amp;"",Hoja1!$C$2:$C$253,Hoja1!$D$2:$D$253),IFERROR(_xlfn.XLOOKUP($A382,'Sucursales Empleado'!$A$2:$A$236,'Sucursales Empleado'!$B$2:$B$236),""))</f>
        <v>Parmessano Gran Estacion</v>
      </c>
    </row>
    <row r="383" spans="1:4" ht="20.100000000000001" hidden="1" customHeight="1" x14ac:dyDescent="0.45">
      <c r="A383" s="5">
        <v>1007646014</v>
      </c>
      <c r="B383" s="6" t="s">
        <v>50</v>
      </c>
      <c r="C383" s="6" t="s">
        <v>471</v>
      </c>
      <c r="D383" s="10" t="str">
        <f>IFERROR(_xlfn.XLOOKUP($A383&amp;"",Hoja1!$C$2:$C$253,Hoja1!$D$2:$D$253),IFERROR(_xlfn.XLOOKUP($A383,'Sucursales Empleado'!$A$2:$A$236,'Sucursales Empleado'!$B$2:$B$236),""))</f>
        <v>Parmessano Gran Estacion</v>
      </c>
    </row>
    <row r="384" spans="1:4" ht="20.100000000000001" hidden="1" customHeight="1" x14ac:dyDescent="0.45">
      <c r="A384" s="5">
        <v>1007646014</v>
      </c>
      <c r="B384" s="2" t="s">
        <v>1253</v>
      </c>
      <c r="C384" s="6" t="s">
        <v>471</v>
      </c>
      <c r="D384" s="10" t="str">
        <f>IFERROR(_xlfn.XLOOKUP($A384&amp;"",Hoja1!$C$2:$C$253,Hoja1!$D$2:$D$253),IFERROR(_xlfn.XLOOKUP($A384,'Sucursales Empleado'!$A$2:$A$236,'Sucursales Empleado'!$B$2:$B$236),""))</f>
        <v>Parmessano Gran Estacion</v>
      </c>
    </row>
    <row r="385" spans="1:4" ht="20.100000000000001" hidden="1" customHeight="1" x14ac:dyDescent="0.45">
      <c r="A385" s="5">
        <v>1007646014</v>
      </c>
      <c r="B385" s="6" t="s">
        <v>51</v>
      </c>
      <c r="C385" s="6" t="s">
        <v>471</v>
      </c>
      <c r="D385" s="10" t="str">
        <f>IFERROR(_xlfn.XLOOKUP($A385&amp;"",Hoja1!$C$2:$C$253,Hoja1!$D$2:$D$253),IFERROR(_xlfn.XLOOKUP($A385,'Sucursales Empleado'!$A$2:$A$236,'Sucursales Empleado'!$B$2:$B$236),""))</f>
        <v>Parmessano Gran Estacion</v>
      </c>
    </row>
    <row r="386" spans="1:4" ht="20.100000000000001" hidden="1" customHeight="1" x14ac:dyDescent="0.45">
      <c r="A386" s="5">
        <v>1003740456</v>
      </c>
      <c r="B386" s="2" t="s">
        <v>55</v>
      </c>
      <c r="C386" s="6" t="s">
        <v>471</v>
      </c>
      <c r="D386" s="10" t="str">
        <f>IFERROR(_xlfn.XLOOKUP($A386&amp;"",Hoja1!$C$2:$C$253,Hoja1!$D$2:$D$253),IFERROR(_xlfn.XLOOKUP($A386,'Sucursales Empleado'!$A$2:$A$236,'Sucursales Empleado'!$B$2:$B$236),""))</f>
        <v>Parmessano Gran Estacion</v>
      </c>
    </row>
    <row r="387" spans="1:4" ht="20.100000000000001" hidden="1" customHeight="1" x14ac:dyDescent="0.45">
      <c r="A387" s="13">
        <v>1015066212</v>
      </c>
      <c r="B387" s="11" t="s">
        <v>37</v>
      </c>
      <c r="C387" s="11" t="s">
        <v>471</v>
      </c>
      <c r="D387" s="11" t="str">
        <f>IFERROR(_xlfn.XLOOKUP($A387&amp;"",Hoja1!$C$2:$C$290,Hoja1!$D$2:$D$290),IFERROR(_xlfn.XLOOKUP($A387,'Sucursales Empleado'!$A$2:$A$265,'Sucursales Empleado'!$B$2:$B$265),""))</f>
        <v>Parmessano Gran Estacion</v>
      </c>
    </row>
    <row r="388" spans="1:4" ht="20.100000000000001" hidden="1" customHeight="1" x14ac:dyDescent="0.45">
      <c r="A388" s="13">
        <v>1015066212</v>
      </c>
      <c r="B388" s="11" t="s">
        <v>39</v>
      </c>
      <c r="C388" s="11" t="s">
        <v>471</v>
      </c>
      <c r="D388" s="11" t="str">
        <f>IFERROR(_xlfn.XLOOKUP($A388&amp;"",Hoja1!$C$2:$C$290,Hoja1!$D$2:$D$290),IFERROR(_xlfn.XLOOKUP($A388,'Sucursales Empleado'!$A$2:$A$265,'Sucursales Empleado'!$B$2:$B$265),""))</f>
        <v>Parmessano Gran Estacion</v>
      </c>
    </row>
    <row r="389" spans="1:4" ht="20.100000000000001" hidden="1" customHeight="1" x14ac:dyDescent="0.45">
      <c r="A389" s="13">
        <v>1015066212</v>
      </c>
      <c r="B389" s="11" t="s">
        <v>40</v>
      </c>
      <c r="C389" s="11" t="s">
        <v>471</v>
      </c>
      <c r="D389" s="11" t="str">
        <f>IFERROR(_xlfn.XLOOKUP($A389&amp;"",Hoja1!$C$2:$C$290,Hoja1!$D$2:$D$290),IFERROR(_xlfn.XLOOKUP($A389,'Sucursales Empleado'!$A$2:$A$265,'Sucursales Empleado'!$B$2:$B$265),""))</f>
        <v>Parmessano Gran Estacion</v>
      </c>
    </row>
    <row r="390" spans="1:4" ht="20.100000000000001" hidden="1" customHeight="1" x14ac:dyDescent="0.45">
      <c r="A390" s="13">
        <v>1015066212</v>
      </c>
      <c r="B390" s="11" t="s">
        <v>41</v>
      </c>
      <c r="C390" s="11" t="s">
        <v>471</v>
      </c>
      <c r="D390" s="11" t="str">
        <f>IFERROR(_xlfn.XLOOKUP($A390&amp;"",Hoja1!$C$2:$C$290,Hoja1!$D$2:$D$290),IFERROR(_xlfn.XLOOKUP($A390,'Sucursales Empleado'!$A$2:$A$265,'Sucursales Empleado'!$B$2:$B$265),""))</f>
        <v>Parmessano Gran Estacion</v>
      </c>
    </row>
    <row r="391" spans="1:4" ht="20.100000000000001" hidden="1" customHeight="1" x14ac:dyDescent="0.45">
      <c r="A391" s="13">
        <v>1015066212</v>
      </c>
      <c r="B391" s="11" t="s">
        <v>42</v>
      </c>
      <c r="C391" s="11" t="s">
        <v>471</v>
      </c>
      <c r="D391" s="11" t="str">
        <f>IFERROR(_xlfn.XLOOKUP($A391&amp;"",Hoja1!$C$2:$C$290,Hoja1!$D$2:$D$290),IFERROR(_xlfn.XLOOKUP($A391,'Sucursales Empleado'!$A$2:$A$265,'Sucursales Empleado'!$B$2:$B$265),""))</f>
        <v>Parmessano Gran Estacion</v>
      </c>
    </row>
    <row r="392" spans="1:4" ht="20.100000000000001" hidden="1" customHeight="1" x14ac:dyDescent="0.45">
      <c r="A392" s="13">
        <v>1015066212</v>
      </c>
      <c r="B392" s="11" t="s">
        <v>1251</v>
      </c>
      <c r="C392" s="11" t="s">
        <v>471</v>
      </c>
      <c r="D392" s="11" t="str">
        <f>IFERROR(_xlfn.XLOOKUP($A392&amp;"",Hoja1!$C$2:$C$290,Hoja1!$D$2:$D$290),IFERROR(_xlfn.XLOOKUP($A392,'Sucursales Empleado'!$A$2:$A$265,'Sucursales Empleado'!$B$2:$B$265),""))</f>
        <v>Parmessano Gran Estacion</v>
      </c>
    </row>
    <row r="393" spans="1:4" ht="20.100000000000001" hidden="1" customHeight="1" x14ac:dyDescent="0.45">
      <c r="A393" s="13">
        <v>1015066212</v>
      </c>
      <c r="B393" s="11" t="s">
        <v>44</v>
      </c>
      <c r="C393" s="11" t="s">
        <v>471</v>
      </c>
      <c r="D393" s="11" t="str">
        <f>IFERROR(_xlfn.XLOOKUP($A393&amp;"",Hoja1!$C$2:$C$290,Hoja1!$D$2:$D$290),IFERROR(_xlfn.XLOOKUP($A393,'Sucursales Empleado'!$A$2:$A$265,'Sucursales Empleado'!$B$2:$B$265),""))</f>
        <v>Parmessano Gran Estacion</v>
      </c>
    </row>
    <row r="394" spans="1:4" ht="20.100000000000001" hidden="1" customHeight="1" x14ac:dyDescent="0.45">
      <c r="A394" s="13">
        <v>1015066212</v>
      </c>
      <c r="B394" s="11" t="s">
        <v>45</v>
      </c>
      <c r="C394" s="11" t="s">
        <v>471</v>
      </c>
      <c r="D394" s="11" t="str">
        <f>IFERROR(_xlfn.XLOOKUP($A394&amp;"",Hoja1!$C$2:$C$290,Hoja1!$D$2:$D$290),IFERROR(_xlfn.XLOOKUP($A394,'Sucursales Empleado'!$A$2:$A$265,'Sucursales Empleado'!$B$2:$B$265),""))</f>
        <v>Parmessano Gran Estacion</v>
      </c>
    </row>
    <row r="395" spans="1:4" ht="20.100000000000001" hidden="1" customHeight="1" x14ac:dyDescent="0.45">
      <c r="A395" s="13">
        <v>79132253</v>
      </c>
      <c r="B395" s="11" t="s">
        <v>53</v>
      </c>
      <c r="C395" s="11" t="s">
        <v>471</v>
      </c>
      <c r="D395" s="11" t="str">
        <f>IFERROR(_xlfn.XLOOKUP($A395&amp;"",Hoja1!$C$2:$C$290,Hoja1!$D$2:$D$290),IFERROR(_xlfn.XLOOKUP($A395,'Sucursales Empleado'!$A$2:$A$265,'Sucursales Empleado'!$B$2:$B$265),""))</f>
        <v>Parmessano Gran Estacion</v>
      </c>
    </row>
    <row r="396" spans="1:4" ht="20.100000000000001" customHeight="1" x14ac:dyDescent="0.45">
      <c r="A396" s="13">
        <v>79132253</v>
      </c>
      <c r="B396" s="11" t="s">
        <v>1252</v>
      </c>
      <c r="C396" s="11" t="s">
        <v>471</v>
      </c>
      <c r="D396" s="11" t="str">
        <f>IFERROR(_xlfn.XLOOKUP($A396&amp;"",Hoja1!$C$2:$C$290,Hoja1!$D$2:$D$290),IFERROR(_xlfn.XLOOKUP($A396,'Sucursales Empleado'!$A$2:$A$265,'Sucursales Empleado'!$B$2:$B$265),""))</f>
        <v>Parmessano Gran Estacion</v>
      </c>
    </row>
    <row r="397" spans="1:4" ht="20.100000000000001" hidden="1" customHeight="1" x14ac:dyDescent="0.45">
      <c r="A397" s="13">
        <v>79132253</v>
      </c>
      <c r="B397" s="11" t="s">
        <v>1254</v>
      </c>
      <c r="C397" s="11" t="s">
        <v>471</v>
      </c>
      <c r="D397" s="11" t="str">
        <f>IFERROR(_xlfn.XLOOKUP($A397&amp;"",Hoja1!$C$2:$C$290,Hoja1!$D$2:$D$290),IFERROR(_xlfn.XLOOKUP($A397,'Sucursales Empleado'!$A$2:$A$265,'Sucursales Empleado'!$B$2:$B$265),""))</f>
        <v>Parmessano Gran Estacion</v>
      </c>
    </row>
    <row r="398" spans="1:4" ht="20.100000000000001" hidden="1" customHeight="1" x14ac:dyDescent="0.45">
      <c r="A398" s="13">
        <v>79132253</v>
      </c>
      <c r="B398" s="11" t="s">
        <v>50</v>
      </c>
      <c r="C398" s="11" t="s">
        <v>471</v>
      </c>
      <c r="D398" s="11" t="str">
        <f>IFERROR(_xlfn.XLOOKUP($A398&amp;"",Hoja1!$C$2:$C$290,Hoja1!$D$2:$D$290),IFERROR(_xlfn.XLOOKUP($A398,'Sucursales Empleado'!$A$2:$A$265,'Sucursales Empleado'!$B$2:$B$265),""))</f>
        <v>Parmessano Gran Estacion</v>
      </c>
    </row>
    <row r="399" spans="1:4" ht="20.100000000000001" hidden="1" customHeight="1" x14ac:dyDescent="0.45">
      <c r="A399" s="13">
        <v>79132253</v>
      </c>
      <c r="B399" s="11" t="s">
        <v>51</v>
      </c>
      <c r="C399" s="11" t="s">
        <v>471</v>
      </c>
      <c r="D399" s="11" t="str">
        <f>IFERROR(_xlfn.XLOOKUP($A399&amp;"",Hoja1!$C$2:$C$290,Hoja1!$D$2:$D$290),IFERROR(_xlfn.XLOOKUP($A399,'Sucursales Empleado'!$A$2:$A$265,'Sucursales Empleado'!$B$2:$B$265),""))</f>
        <v>Parmessano Gran Estacion</v>
      </c>
    </row>
    <row r="400" spans="1:4" ht="20.100000000000001" hidden="1" customHeight="1" x14ac:dyDescent="0.45">
      <c r="A400" s="13">
        <v>57462390</v>
      </c>
      <c r="B400" s="11" t="s">
        <v>37</v>
      </c>
      <c r="C400" s="11" t="s">
        <v>471</v>
      </c>
      <c r="D400" s="11" t="str">
        <f>IFERROR(_xlfn.XLOOKUP($A400&amp;"",Hoja1!$C$2:$C$290,Hoja1!$D$2:$D$290),IFERROR(_xlfn.XLOOKUP($A400,'Sucursales Empleado'!$A$2:$A$265,'Sucursales Empleado'!$B$2:$B$265),""))</f>
        <v>Parmessano Gran Estacion</v>
      </c>
    </row>
    <row r="401" spans="1:4" ht="20.100000000000001" hidden="1" customHeight="1" x14ac:dyDescent="0.45">
      <c r="A401" s="13">
        <v>57462390</v>
      </c>
      <c r="B401" s="11" t="s">
        <v>39</v>
      </c>
      <c r="C401" s="11" t="s">
        <v>471</v>
      </c>
      <c r="D401" s="11" t="str">
        <f>IFERROR(_xlfn.XLOOKUP($A401&amp;"",Hoja1!$C$2:$C$290,Hoja1!$D$2:$D$290),IFERROR(_xlfn.XLOOKUP($A401,'Sucursales Empleado'!$A$2:$A$265,'Sucursales Empleado'!$B$2:$B$265),""))</f>
        <v>Parmessano Gran Estacion</v>
      </c>
    </row>
    <row r="402" spans="1:4" ht="20.100000000000001" hidden="1" customHeight="1" x14ac:dyDescent="0.45">
      <c r="A402" s="13">
        <v>57462390</v>
      </c>
      <c r="B402" s="11" t="s">
        <v>40</v>
      </c>
      <c r="C402" s="11" t="s">
        <v>471</v>
      </c>
      <c r="D402" s="11" t="str">
        <f>IFERROR(_xlfn.XLOOKUP($A402&amp;"",Hoja1!$C$2:$C$290,Hoja1!$D$2:$D$290),IFERROR(_xlfn.XLOOKUP($A402,'Sucursales Empleado'!$A$2:$A$265,'Sucursales Empleado'!$B$2:$B$265),""))</f>
        <v>Parmessano Gran Estacion</v>
      </c>
    </row>
    <row r="403" spans="1:4" ht="20.100000000000001" hidden="1" customHeight="1" x14ac:dyDescent="0.45">
      <c r="A403" s="13">
        <v>57462390</v>
      </c>
      <c r="B403" s="11" t="s">
        <v>41</v>
      </c>
      <c r="C403" s="11" t="s">
        <v>471</v>
      </c>
      <c r="D403" s="11" t="str">
        <f>IFERROR(_xlfn.XLOOKUP($A403&amp;"",Hoja1!$C$2:$C$290,Hoja1!$D$2:$D$290),IFERROR(_xlfn.XLOOKUP($A403,'Sucursales Empleado'!$A$2:$A$265,'Sucursales Empleado'!$B$2:$B$265),""))</f>
        <v>Parmessano Gran Estacion</v>
      </c>
    </row>
    <row r="404" spans="1:4" ht="20.100000000000001" hidden="1" customHeight="1" x14ac:dyDescent="0.45">
      <c r="A404" s="13">
        <v>57462390</v>
      </c>
      <c r="B404" s="11" t="s">
        <v>42</v>
      </c>
      <c r="C404" s="11" t="s">
        <v>471</v>
      </c>
      <c r="D404" s="11" t="str">
        <f>IFERROR(_xlfn.XLOOKUP($A404&amp;"",Hoja1!$C$2:$C$290,Hoja1!$D$2:$D$290),IFERROR(_xlfn.XLOOKUP($A404,'Sucursales Empleado'!$A$2:$A$265,'Sucursales Empleado'!$B$2:$B$265),""))</f>
        <v>Parmessano Gran Estacion</v>
      </c>
    </row>
    <row r="405" spans="1:4" ht="20.100000000000001" hidden="1" customHeight="1" x14ac:dyDescent="0.45">
      <c r="A405" s="13">
        <v>57462390</v>
      </c>
      <c r="B405" s="11" t="s">
        <v>1251</v>
      </c>
      <c r="C405" s="11" t="s">
        <v>471</v>
      </c>
      <c r="D405" s="11" t="str">
        <f>IFERROR(_xlfn.XLOOKUP($A405&amp;"",Hoja1!$C$2:$C$290,Hoja1!$D$2:$D$290),IFERROR(_xlfn.XLOOKUP($A405,'Sucursales Empleado'!$A$2:$A$265,'Sucursales Empleado'!$B$2:$B$265),""))</f>
        <v>Parmessano Gran Estacion</v>
      </c>
    </row>
    <row r="406" spans="1:4" ht="20.100000000000001" hidden="1" customHeight="1" x14ac:dyDescent="0.45">
      <c r="A406" s="13">
        <v>57462390</v>
      </c>
      <c r="B406" s="11" t="s">
        <v>44</v>
      </c>
      <c r="C406" s="11" t="s">
        <v>471</v>
      </c>
      <c r="D406" s="11" t="str">
        <f>IFERROR(_xlfn.XLOOKUP($A406&amp;"",Hoja1!$C$2:$C$290,Hoja1!$D$2:$D$290),IFERROR(_xlfn.XLOOKUP($A406,'Sucursales Empleado'!$A$2:$A$265,'Sucursales Empleado'!$B$2:$B$265),""))</f>
        <v>Parmessano Gran Estacion</v>
      </c>
    </row>
    <row r="407" spans="1:4" ht="20.100000000000001" hidden="1" customHeight="1" x14ac:dyDescent="0.45">
      <c r="A407" s="13">
        <v>57462390</v>
      </c>
      <c r="B407" s="11" t="s">
        <v>45</v>
      </c>
      <c r="C407" s="11" t="s">
        <v>471</v>
      </c>
      <c r="D407" s="11" t="str">
        <f>IFERROR(_xlfn.XLOOKUP($A407&amp;"",Hoja1!$C$2:$C$290,Hoja1!$D$2:$D$290),IFERROR(_xlfn.XLOOKUP($A407,'Sucursales Empleado'!$A$2:$A$265,'Sucursales Empleado'!$B$2:$B$265),""))</f>
        <v>Parmessano Gran Estacion</v>
      </c>
    </row>
    <row r="408" spans="1:4" ht="20.100000000000001" hidden="1" customHeight="1" x14ac:dyDescent="0.45">
      <c r="A408" s="13">
        <v>1018417343</v>
      </c>
      <c r="B408" s="11" t="s">
        <v>53</v>
      </c>
      <c r="C408" s="11" t="s">
        <v>471</v>
      </c>
      <c r="D408" s="11" t="str">
        <f>IFERROR(_xlfn.XLOOKUP($A408&amp;"",Hoja1!$C$2:$C$290,Hoja1!$D$2:$D$290),IFERROR(_xlfn.XLOOKUP($A408,'Sucursales Empleado'!$A$2:$A$265,'Sucursales Empleado'!$B$2:$B$265),""))</f>
        <v>Parmessano Gran Estacion</v>
      </c>
    </row>
    <row r="409" spans="1:4" ht="20.100000000000001" customHeight="1" x14ac:dyDescent="0.45">
      <c r="A409" s="13">
        <v>1018417343</v>
      </c>
      <c r="B409" s="11" t="s">
        <v>1252</v>
      </c>
      <c r="C409" s="11" t="s">
        <v>471</v>
      </c>
      <c r="D409" s="11" t="str">
        <f>IFERROR(_xlfn.XLOOKUP($A409&amp;"",Hoja1!$C$2:$C$290,Hoja1!$D$2:$D$290),IFERROR(_xlfn.XLOOKUP($A409,'Sucursales Empleado'!$A$2:$A$265,'Sucursales Empleado'!$B$2:$B$265),""))</f>
        <v>Parmessano Gran Estacion</v>
      </c>
    </row>
    <row r="410" spans="1:4" ht="20.100000000000001" hidden="1" customHeight="1" x14ac:dyDescent="0.45">
      <c r="A410" s="13">
        <v>1018417343</v>
      </c>
      <c r="B410" s="11" t="s">
        <v>1254</v>
      </c>
      <c r="C410" s="11" t="s">
        <v>471</v>
      </c>
      <c r="D410" s="11" t="str">
        <f>IFERROR(_xlfn.XLOOKUP($A410&amp;"",Hoja1!$C$2:$C$290,Hoja1!$D$2:$D$290),IFERROR(_xlfn.XLOOKUP($A410,'Sucursales Empleado'!$A$2:$A$265,'Sucursales Empleado'!$B$2:$B$265),""))</f>
        <v>Parmessano Gran Estacion</v>
      </c>
    </row>
    <row r="411" spans="1:4" ht="20.100000000000001" hidden="1" customHeight="1" x14ac:dyDescent="0.45">
      <c r="A411" s="13">
        <v>1018417343</v>
      </c>
      <c r="B411" s="11" t="s">
        <v>50</v>
      </c>
      <c r="C411" s="11" t="s">
        <v>471</v>
      </c>
      <c r="D411" s="11" t="str">
        <f>IFERROR(_xlfn.XLOOKUP($A411&amp;"",Hoja1!$C$2:$C$290,Hoja1!$D$2:$D$290),IFERROR(_xlfn.XLOOKUP($A411,'Sucursales Empleado'!$A$2:$A$265,'Sucursales Empleado'!$B$2:$B$265),""))</f>
        <v>Parmessano Gran Estacion</v>
      </c>
    </row>
    <row r="412" spans="1:4" ht="20.100000000000001" hidden="1" customHeight="1" x14ac:dyDescent="0.45">
      <c r="A412" s="13">
        <v>1018417343</v>
      </c>
      <c r="B412" s="11" t="s">
        <v>51</v>
      </c>
      <c r="C412" s="11" t="s">
        <v>471</v>
      </c>
      <c r="D412" s="11" t="str">
        <f>IFERROR(_xlfn.XLOOKUP($A412&amp;"",Hoja1!$C$2:$C$290,Hoja1!$D$2:$D$290),IFERROR(_xlfn.XLOOKUP($A412,'Sucursales Empleado'!$A$2:$A$265,'Sucursales Empleado'!$B$2:$B$265),""))</f>
        <v>Parmessano Gran Estacion</v>
      </c>
    </row>
    <row r="413" spans="1:4" ht="20.100000000000001" hidden="1" customHeight="1" x14ac:dyDescent="0.45">
      <c r="A413" s="13">
        <v>1016951876</v>
      </c>
      <c r="B413" s="11" t="s">
        <v>37</v>
      </c>
      <c r="C413" s="11" t="s">
        <v>471</v>
      </c>
      <c r="D413" s="11" t="str">
        <f>IFERROR(_xlfn.XLOOKUP($A413&amp;"",Hoja1!$C$2:$C$290,Hoja1!$D$2:$D$290),IFERROR(_xlfn.XLOOKUP($A413,'Sucursales Empleado'!$A$2:$A$265,'Sucursales Empleado'!$B$2:$B$265),""))</f>
        <v>Parmessano Gran Estacion</v>
      </c>
    </row>
    <row r="414" spans="1:4" ht="20.100000000000001" hidden="1" customHeight="1" x14ac:dyDescent="0.45">
      <c r="A414" s="13">
        <v>1016951876</v>
      </c>
      <c r="B414" s="11" t="s">
        <v>39</v>
      </c>
      <c r="C414" s="11" t="s">
        <v>471</v>
      </c>
      <c r="D414" s="11" t="str">
        <f>IFERROR(_xlfn.XLOOKUP($A414&amp;"",Hoja1!$C$2:$C$290,Hoja1!$D$2:$D$290),IFERROR(_xlfn.XLOOKUP($A414,'Sucursales Empleado'!$A$2:$A$265,'Sucursales Empleado'!$B$2:$B$265),""))</f>
        <v>Parmessano Gran Estacion</v>
      </c>
    </row>
    <row r="415" spans="1:4" ht="20.100000000000001" hidden="1" customHeight="1" x14ac:dyDescent="0.45">
      <c r="A415" s="13">
        <v>1016951876</v>
      </c>
      <c r="B415" s="11" t="s">
        <v>40</v>
      </c>
      <c r="C415" s="11" t="s">
        <v>471</v>
      </c>
      <c r="D415" s="11" t="str">
        <f>IFERROR(_xlfn.XLOOKUP($A415&amp;"",Hoja1!$C$2:$C$290,Hoja1!$D$2:$D$290),IFERROR(_xlfn.XLOOKUP($A415,'Sucursales Empleado'!$A$2:$A$265,'Sucursales Empleado'!$B$2:$B$265),""))</f>
        <v>Parmessano Gran Estacion</v>
      </c>
    </row>
    <row r="416" spans="1:4" ht="20.100000000000001" hidden="1" customHeight="1" x14ac:dyDescent="0.45">
      <c r="A416" s="13">
        <v>1016951876</v>
      </c>
      <c r="B416" s="11" t="s">
        <v>41</v>
      </c>
      <c r="C416" s="11" t="s">
        <v>471</v>
      </c>
      <c r="D416" s="11" t="str">
        <f>IFERROR(_xlfn.XLOOKUP($A416&amp;"",Hoja1!$C$2:$C$290,Hoja1!$D$2:$D$290),IFERROR(_xlfn.XLOOKUP($A416,'Sucursales Empleado'!$A$2:$A$265,'Sucursales Empleado'!$B$2:$B$265),""))</f>
        <v>Parmessano Gran Estacion</v>
      </c>
    </row>
    <row r="417" spans="1:4" ht="20.100000000000001" hidden="1" customHeight="1" x14ac:dyDescent="0.45">
      <c r="A417" s="13">
        <v>1016951876</v>
      </c>
      <c r="B417" s="11" t="s">
        <v>42</v>
      </c>
      <c r="C417" s="11" t="s">
        <v>471</v>
      </c>
      <c r="D417" s="11" t="str">
        <f>IFERROR(_xlfn.XLOOKUP($A417&amp;"",Hoja1!$C$2:$C$290,Hoja1!$D$2:$D$290),IFERROR(_xlfn.XLOOKUP($A417,'Sucursales Empleado'!$A$2:$A$265,'Sucursales Empleado'!$B$2:$B$265),""))</f>
        <v>Parmessano Gran Estacion</v>
      </c>
    </row>
    <row r="418" spans="1:4" ht="20.100000000000001" hidden="1" customHeight="1" x14ac:dyDescent="0.45">
      <c r="A418" s="13">
        <v>1016951876</v>
      </c>
      <c r="B418" s="11" t="s">
        <v>1251</v>
      </c>
      <c r="C418" s="11" t="s">
        <v>471</v>
      </c>
      <c r="D418" s="11" t="str">
        <f>IFERROR(_xlfn.XLOOKUP($A418&amp;"",Hoja1!$C$2:$C$290,Hoja1!$D$2:$D$290),IFERROR(_xlfn.XLOOKUP($A418,'Sucursales Empleado'!$A$2:$A$265,'Sucursales Empleado'!$B$2:$B$265),""))</f>
        <v>Parmessano Gran Estacion</v>
      </c>
    </row>
    <row r="419" spans="1:4" ht="20.100000000000001" hidden="1" customHeight="1" x14ac:dyDescent="0.45">
      <c r="A419" s="13">
        <v>1016951876</v>
      </c>
      <c r="B419" s="11" t="s">
        <v>44</v>
      </c>
      <c r="C419" s="11" t="s">
        <v>471</v>
      </c>
      <c r="D419" s="11" t="str">
        <f>IFERROR(_xlfn.XLOOKUP($A419&amp;"",Hoja1!$C$2:$C$290,Hoja1!$D$2:$D$290),IFERROR(_xlfn.XLOOKUP($A419,'Sucursales Empleado'!$A$2:$A$265,'Sucursales Empleado'!$B$2:$B$265),""))</f>
        <v>Parmessano Gran Estacion</v>
      </c>
    </row>
    <row r="420" spans="1:4" ht="20.100000000000001" hidden="1" customHeight="1" x14ac:dyDescent="0.45">
      <c r="A420" s="13">
        <v>1016951876</v>
      </c>
      <c r="B420" s="11" t="s">
        <v>45</v>
      </c>
      <c r="C420" s="11" t="s">
        <v>471</v>
      </c>
      <c r="D420" s="11" t="str">
        <f>IFERROR(_xlfn.XLOOKUP($A420&amp;"",Hoja1!$C$2:$C$290,Hoja1!$D$2:$D$290),IFERROR(_xlfn.XLOOKUP($A420,'Sucursales Empleado'!$A$2:$A$265,'Sucursales Empleado'!$B$2:$B$265),""))</f>
        <v>Parmessano Gran Estacion</v>
      </c>
    </row>
    <row r="421" spans="1:4" ht="20.100000000000001" hidden="1" customHeight="1" x14ac:dyDescent="0.45">
      <c r="A421" s="13">
        <v>1022402548</v>
      </c>
      <c r="B421" s="11" t="s">
        <v>53</v>
      </c>
      <c r="C421" s="11" t="s">
        <v>471</v>
      </c>
      <c r="D421" s="11" t="str">
        <f>IFERROR(_xlfn.XLOOKUP($A421&amp;"",Hoja1!$C$2:$C$290,Hoja1!$D$2:$D$290),IFERROR(_xlfn.XLOOKUP($A421,'Sucursales Empleado'!$A$2:$A$265,'Sucursales Empleado'!$B$2:$B$265),""))</f>
        <v>Parmessano Gran Estacion</v>
      </c>
    </row>
    <row r="422" spans="1:4" ht="20.100000000000001" customHeight="1" x14ac:dyDescent="0.45">
      <c r="A422" s="13">
        <v>1022402548</v>
      </c>
      <c r="B422" s="11" t="s">
        <v>1252</v>
      </c>
      <c r="C422" s="11" t="s">
        <v>471</v>
      </c>
      <c r="D422" s="11" t="str">
        <f>IFERROR(_xlfn.XLOOKUP($A422&amp;"",Hoja1!$C$2:$C$290,Hoja1!$D$2:$D$290),IFERROR(_xlfn.XLOOKUP($A422,'Sucursales Empleado'!$A$2:$A$265,'Sucursales Empleado'!$B$2:$B$265),""))</f>
        <v>Parmessano Gran Estacion</v>
      </c>
    </row>
    <row r="423" spans="1:4" ht="20.100000000000001" hidden="1" customHeight="1" x14ac:dyDescent="0.45">
      <c r="A423" s="13">
        <v>1022402548</v>
      </c>
      <c r="B423" s="11" t="s">
        <v>1254</v>
      </c>
      <c r="C423" s="11" t="s">
        <v>471</v>
      </c>
      <c r="D423" s="11" t="str">
        <f>IFERROR(_xlfn.XLOOKUP($A423&amp;"",Hoja1!$C$2:$C$290,Hoja1!$D$2:$D$290),IFERROR(_xlfn.XLOOKUP($A423,'Sucursales Empleado'!$A$2:$A$265,'Sucursales Empleado'!$B$2:$B$265),""))</f>
        <v>Parmessano Gran Estacion</v>
      </c>
    </row>
    <row r="424" spans="1:4" ht="20.100000000000001" hidden="1" customHeight="1" x14ac:dyDescent="0.45">
      <c r="A424" s="13">
        <v>1022402548</v>
      </c>
      <c r="B424" s="11" t="s">
        <v>50</v>
      </c>
      <c r="C424" s="11" t="s">
        <v>471</v>
      </c>
      <c r="D424" s="11" t="str">
        <f>IFERROR(_xlfn.XLOOKUP($A424&amp;"",Hoja1!$C$2:$C$290,Hoja1!$D$2:$D$290),IFERROR(_xlfn.XLOOKUP($A424,'Sucursales Empleado'!$A$2:$A$265,'Sucursales Empleado'!$B$2:$B$265),""))</f>
        <v>Parmessano Gran Estacion</v>
      </c>
    </row>
    <row r="425" spans="1:4" ht="20.100000000000001" hidden="1" customHeight="1" x14ac:dyDescent="0.45">
      <c r="A425" s="13">
        <v>1022402548</v>
      </c>
      <c r="B425" s="11" t="s">
        <v>51</v>
      </c>
      <c r="C425" s="11" t="s">
        <v>471</v>
      </c>
      <c r="D425" s="11" t="str">
        <f>IFERROR(_xlfn.XLOOKUP($A425&amp;"",Hoja1!$C$2:$C$290,Hoja1!$D$2:$D$290),IFERROR(_xlfn.XLOOKUP($A425,'Sucursales Empleado'!$A$2:$A$265,'Sucursales Empleado'!$B$2:$B$265),""))</f>
        <v>Parmessano Gran Estacion</v>
      </c>
    </row>
    <row r="426" spans="1:4" ht="20.100000000000001" hidden="1" customHeight="1" x14ac:dyDescent="0.45">
      <c r="A426" s="13">
        <v>1080022226</v>
      </c>
      <c r="B426" s="11" t="s">
        <v>53</v>
      </c>
      <c r="C426" s="11" t="s">
        <v>471</v>
      </c>
      <c r="D426" s="11" t="str">
        <f>IFERROR(_xlfn.XLOOKUP($A426&amp;"",Hoja1!$C$2:$C$290,Hoja1!$D$2:$D$290),IFERROR(_xlfn.XLOOKUP($A426,'Sucursales Empleado'!$A$2:$A$265,'Sucursales Empleado'!$B$2:$B$265),""))</f>
        <v>Parmessano Gran Estacion</v>
      </c>
    </row>
    <row r="427" spans="1:4" ht="20.100000000000001" customHeight="1" x14ac:dyDescent="0.45">
      <c r="A427" s="13">
        <v>1080022226</v>
      </c>
      <c r="B427" s="11" t="s">
        <v>1252</v>
      </c>
      <c r="C427" s="11" t="s">
        <v>471</v>
      </c>
      <c r="D427" s="11" t="str">
        <f>IFERROR(_xlfn.XLOOKUP($A427&amp;"",Hoja1!$C$2:$C$290,Hoja1!$D$2:$D$290),IFERROR(_xlfn.XLOOKUP($A427,'Sucursales Empleado'!$A$2:$A$265,'Sucursales Empleado'!$B$2:$B$265),""))</f>
        <v>Parmessano Gran Estacion</v>
      </c>
    </row>
    <row r="428" spans="1:4" ht="20.100000000000001" hidden="1" customHeight="1" x14ac:dyDescent="0.45">
      <c r="A428" s="13">
        <v>1080022226</v>
      </c>
      <c r="B428" s="11" t="s">
        <v>1254</v>
      </c>
      <c r="C428" s="11" t="s">
        <v>471</v>
      </c>
      <c r="D428" s="11" t="str">
        <f>IFERROR(_xlfn.XLOOKUP($A428&amp;"",Hoja1!$C$2:$C$290,Hoja1!$D$2:$D$290),IFERROR(_xlfn.XLOOKUP($A428,'Sucursales Empleado'!$A$2:$A$265,'Sucursales Empleado'!$B$2:$B$265),""))</f>
        <v>Parmessano Gran Estacion</v>
      </c>
    </row>
    <row r="429" spans="1:4" ht="20.100000000000001" hidden="1" customHeight="1" x14ac:dyDescent="0.45">
      <c r="A429" s="13">
        <v>1080022226</v>
      </c>
      <c r="B429" s="11" t="s">
        <v>50</v>
      </c>
      <c r="C429" s="11" t="s">
        <v>471</v>
      </c>
      <c r="D429" s="11" t="str">
        <f>IFERROR(_xlfn.XLOOKUP($A429&amp;"",Hoja1!$C$2:$C$290,Hoja1!$D$2:$D$290),IFERROR(_xlfn.XLOOKUP($A429,'Sucursales Empleado'!$A$2:$A$265,'Sucursales Empleado'!$B$2:$B$265),""))</f>
        <v>Parmessano Gran Estacion</v>
      </c>
    </row>
    <row r="430" spans="1:4" ht="20.100000000000001" hidden="1" customHeight="1" x14ac:dyDescent="0.45">
      <c r="A430" s="13">
        <v>1080022226</v>
      </c>
      <c r="B430" s="11" t="s">
        <v>51</v>
      </c>
      <c r="C430" s="11" t="s">
        <v>471</v>
      </c>
      <c r="D430" s="11" t="str">
        <f>IFERROR(_xlfn.XLOOKUP($A430&amp;"",Hoja1!$C$2:$C$290,Hoja1!$D$2:$D$290),IFERROR(_xlfn.XLOOKUP($A430,'Sucursales Empleado'!$A$2:$A$265,'Sucursales Empleado'!$B$2:$B$265),""))</f>
        <v>Parmessano Gran Estacion</v>
      </c>
    </row>
    <row r="431" spans="1:4" ht="20.100000000000001" hidden="1" customHeight="1" x14ac:dyDescent="0.45">
      <c r="A431" s="13">
        <v>5046048</v>
      </c>
      <c r="B431" s="11" t="s">
        <v>37</v>
      </c>
      <c r="C431" s="11" t="s">
        <v>471</v>
      </c>
      <c r="D431" s="11" t="str">
        <f>IFERROR(_xlfn.XLOOKUP($A431&amp;"",Hoja1!$C$2:$C$290,Hoja1!$D$2:$D$290),IFERROR(_xlfn.XLOOKUP($A431,'Sucursales Empleado'!$A$2:$A$265,'Sucursales Empleado'!$B$2:$B$265),""))</f>
        <v>Parmessano Gran Estacion</v>
      </c>
    </row>
    <row r="432" spans="1:4" ht="20.100000000000001" hidden="1" customHeight="1" x14ac:dyDescent="0.45">
      <c r="A432" s="13">
        <v>5046048</v>
      </c>
      <c r="B432" s="11" t="s">
        <v>39</v>
      </c>
      <c r="C432" s="11" t="s">
        <v>471</v>
      </c>
      <c r="D432" s="11" t="str">
        <f>IFERROR(_xlfn.XLOOKUP($A432&amp;"",Hoja1!$C$2:$C$290,Hoja1!$D$2:$D$290),IFERROR(_xlfn.XLOOKUP($A432,'Sucursales Empleado'!$A$2:$A$265,'Sucursales Empleado'!$B$2:$B$265),""))</f>
        <v>Parmessano Gran Estacion</v>
      </c>
    </row>
    <row r="433" spans="1:4" ht="20.100000000000001" hidden="1" customHeight="1" x14ac:dyDescent="0.45">
      <c r="A433" s="13">
        <v>5046048</v>
      </c>
      <c r="B433" s="11" t="s">
        <v>40</v>
      </c>
      <c r="C433" s="11" t="s">
        <v>471</v>
      </c>
      <c r="D433" s="11" t="str">
        <f>IFERROR(_xlfn.XLOOKUP($A433&amp;"",Hoja1!$C$2:$C$290,Hoja1!$D$2:$D$290),IFERROR(_xlfn.XLOOKUP($A433,'Sucursales Empleado'!$A$2:$A$265,'Sucursales Empleado'!$B$2:$B$265),""))</f>
        <v>Parmessano Gran Estacion</v>
      </c>
    </row>
    <row r="434" spans="1:4" ht="20.100000000000001" hidden="1" customHeight="1" x14ac:dyDescent="0.45">
      <c r="A434" s="13">
        <v>5046048</v>
      </c>
      <c r="B434" s="11" t="s">
        <v>41</v>
      </c>
      <c r="C434" s="11" t="s">
        <v>471</v>
      </c>
      <c r="D434" s="11" t="str">
        <f>IFERROR(_xlfn.XLOOKUP($A434&amp;"",Hoja1!$C$2:$C$290,Hoja1!$D$2:$D$290),IFERROR(_xlfn.XLOOKUP($A434,'Sucursales Empleado'!$A$2:$A$265,'Sucursales Empleado'!$B$2:$B$265),""))</f>
        <v>Parmessano Gran Estacion</v>
      </c>
    </row>
    <row r="435" spans="1:4" ht="20.100000000000001" hidden="1" customHeight="1" x14ac:dyDescent="0.45">
      <c r="A435" s="13">
        <v>5046048</v>
      </c>
      <c r="B435" s="11" t="s">
        <v>42</v>
      </c>
      <c r="C435" s="11" t="s">
        <v>471</v>
      </c>
      <c r="D435" s="11" t="str">
        <f>IFERROR(_xlfn.XLOOKUP($A435&amp;"",Hoja1!$C$2:$C$290,Hoja1!$D$2:$D$290),IFERROR(_xlfn.XLOOKUP($A435,'Sucursales Empleado'!$A$2:$A$265,'Sucursales Empleado'!$B$2:$B$265),""))</f>
        <v>Parmessano Gran Estacion</v>
      </c>
    </row>
    <row r="436" spans="1:4" ht="20.100000000000001" hidden="1" customHeight="1" x14ac:dyDescent="0.45">
      <c r="A436" s="13">
        <v>5046048</v>
      </c>
      <c r="B436" s="11" t="s">
        <v>1251</v>
      </c>
      <c r="C436" s="11" t="s">
        <v>471</v>
      </c>
      <c r="D436" s="11" t="str">
        <f>IFERROR(_xlfn.XLOOKUP($A436&amp;"",Hoja1!$C$2:$C$290,Hoja1!$D$2:$D$290),IFERROR(_xlfn.XLOOKUP($A436,'Sucursales Empleado'!$A$2:$A$265,'Sucursales Empleado'!$B$2:$B$265),""))</f>
        <v>Parmessano Gran Estacion</v>
      </c>
    </row>
    <row r="437" spans="1:4" ht="20.100000000000001" hidden="1" customHeight="1" x14ac:dyDescent="0.45">
      <c r="A437" s="13">
        <v>5046048</v>
      </c>
      <c r="B437" s="11" t="s">
        <v>44</v>
      </c>
      <c r="C437" s="11" t="s">
        <v>471</v>
      </c>
      <c r="D437" s="11" t="str">
        <f>IFERROR(_xlfn.XLOOKUP($A437&amp;"",Hoja1!$C$2:$C$290,Hoja1!$D$2:$D$290),IFERROR(_xlfn.XLOOKUP($A437,'Sucursales Empleado'!$A$2:$A$265,'Sucursales Empleado'!$B$2:$B$265),""))</f>
        <v>Parmessano Gran Estacion</v>
      </c>
    </row>
    <row r="438" spans="1:4" ht="20.100000000000001" hidden="1" customHeight="1" x14ac:dyDescent="0.45">
      <c r="A438" s="13">
        <v>5046048</v>
      </c>
      <c r="B438" s="11" t="s">
        <v>45</v>
      </c>
      <c r="C438" s="11" t="s">
        <v>471</v>
      </c>
      <c r="D438" s="11" t="str">
        <f>IFERROR(_xlfn.XLOOKUP($A438&amp;"",Hoja1!$C$2:$C$290,Hoja1!$D$2:$D$290),IFERROR(_xlfn.XLOOKUP($A438,'Sucursales Empleado'!$A$2:$A$265,'Sucursales Empleado'!$B$2:$B$265),""))</f>
        <v>Parmessano Gran Estacion</v>
      </c>
    </row>
    <row r="439" spans="1:4" ht="20.100000000000001" hidden="1" customHeight="1" x14ac:dyDescent="0.45">
      <c r="A439" s="13">
        <v>4154113</v>
      </c>
      <c r="B439" s="11" t="s">
        <v>53</v>
      </c>
      <c r="C439" s="11" t="s">
        <v>471</v>
      </c>
      <c r="D439" s="11" t="str">
        <f>IFERROR(_xlfn.XLOOKUP($A439&amp;"",Hoja1!$C$2:$C$290,Hoja1!$D$2:$D$290),IFERROR(_xlfn.XLOOKUP($A439,'Sucursales Empleado'!$A$2:$A$265,'Sucursales Empleado'!$B$2:$B$265),""))</f>
        <v>Parmessano Gran Estacion</v>
      </c>
    </row>
    <row r="440" spans="1:4" ht="20.100000000000001" customHeight="1" x14ac:dyDescent="0.45">
      <c r="A440" s="13">
        <v>4154113</v>
      </c>
      <c r="B440" s="11" t="s">
        <v>1252</v>
      </c>
      <c r="C440" s="11" t="s">
        <v>471</v>
      </c>
      <c r="D440" s="11" t="str">
        <f>IFERROR(_xlfn.XLOOKUP($A440&amp;"",Hoja1!$C$2:$C$290,Hoja1!$D$2:$D$290),IFERROR(_xlfn.XLOOKUP($A440,'Sucursales Empleado'!$A$2:$A$265,'Sucursales Empleado'!$B$2:$B$265),""))</f>
        <v>Parmessano Gran Estacion</v>
      </c>
    </row>
    <row r="441" spans="1:4" ht="20.100000000000001" hidden="1" customHeight="1" x14ac:dyDescent="0.45">
      <c r="A441" s="13">
        <v>4154113</v>
      </c>
      <c r="B441" s="11" t="s">
        <v>1254</v>
      </c>
      <c r="C441" s="11" t="s">
        <v>471</v>
      </c>
      <c r="D441" s="11" t="str">
        <f>IFERROR(_xlfn.XLOOKUP($A441&amp;"",Hoja1!$C$2:$C$290,Hoja1!$D$2:$D$290),IFERROR(_xlfn.XLOOKUP($A441,'Sucursales Empleado'!$A$2:$A$265,'Sucursales Empleado'!$B$2:$B$265),""))</f>
        <v>Parmessano Gran Estacion</v>
      </c>
    </row>
    <row r="442" spans="1:4" ht="20.100000000000001" hidden="1" customHeight="1" x14ac:dyDescent="0.45">
      <c r="A442" s="13">
        <v>4154113</v>
      </c>
      <c r="B442" s="11" t="s">
        <v>50</v>
      </c>
      <c r="C442" s="11" t="s">
        <v>471</v>
      </c>
      <c r="D442" s="11" t="str">
        <f>IFERROR(_xlfn.XLOOKUP($A442&amp;"",Hoja1!$C$2:$C$290,Hoja1!$D$2:$D$290),IFERROR(_xlfn.XLOOKUP($A442,'Sucursales Empleado'!$A$2:$A$265,'Sucursales Empleado'!$B$2:$B$265),""))</f>
        <v>Parmessano Gran Estacion</v>
      </c>
    </row>
    <row r="443" spans="1:4" ht="20.100000000000001" hidden="1" customHeight="1" x14ac:dyDescent="0.45">
      <c r="A443" s="13">
        <v>4154113</v>
      </c>
      <c r="B443" s="11" t="s">
        <v>51</v>
      </c>
      <c r="C443" s="11" t="s">
        <v>471</v>
      </c>
      <c r="D443" s="11" t="str">
        <f>IFERROR(_xlfn.XLOOKUP($A443&amp;"",Hoja1!$C$2:$C$290,Hoja1!$D$2:$D$290),IFERROR(_xlfn.XLOOKUP($A443,'Sucursales Empleado'!$A$2:$A$265,'Sucursales Empleado'!$B$2:$B$265),""))</f>
        <v>Parmessano Gran Estacion</v>
      </c>
    </row>
    <row r="444" spans="1:4" ht="20.100000000000001" hidden="1" customHeight="1" x14ac:dyDescent="0.45">
      <c r="A444" s="3">
        <v>53118295</v>
      </c>
      <c r="B444" s="2" t="s">
        <v>42</v>
      </c>
      <c r="C444" s="2" t="s">
        <v>472</v>
      </c>
      <c r="D444" s="10" t="str">
        <f>IFERROR(_xlfn.XLOOKUP($A444&amp;"",Hoja1!$C$2:$C$253,Hoja1!$D$2:$D$253),IFERROR(_xlfn.XLOOKUP($A444,'Sucursales Empleado'!$A$2:$A$236,'Sucursales Empleado'!$B$2:$B$236),""))</f>
        <v>Parmessano Nuestro Bogota</v>
      </c>
    </row>
    <row r="445" spans="1:4" ht="20.100000000000001" hidden="1" customHeight="1" x14ac:dyDescent="0.45">
      <c r="A445" s="3">
        <v>53118295</v>
      </c>
      <c r="B445" s="2" t="s">
        <v>40</v>
      </c>
      <c r="C445" s="2" t="s">
        <v>472</v>
      </c>
      <c r="D445" s="10" t="str">
        <f>IFERROR(_xlfn.XLOOKUP($A445&amp;"",Hoja1!$C$2:$C$253,Hoja1!$D$2:$D$253),IFERROR(_xlfn.XLOOKUP($A445,'Sucursales Empleado'!$A$2:$A$236,'Sucursales Empleado'!$B$2:$B$236),""))</f>
        <v>Parmessano Nuestro Bogota</v>
      </c>
    </row>
    <row r="446" spans="1:4" ht="20.100000000000001" hidden="1" customHeight="1" x14ac:dyDescent="0.45">
      <c r="A446" s="3">
        <v>53118295</v>
      </c>
      <c r="B446" s="2" t="s">
        <v>41</v>
      </c>
      <c r="C446" s="2" t="s">
        <v>472</v>
      </c>
      <c r="D446" s="10" t="str">
        <f>IFERROR(_xlfn.XLOOKUP($A446&amp;"",Hoja1!$C$2:$C$253,Hoja1!$D$2:$D$253),IFERROR(_xlfn.XLOOKUP($A446,'Sucursales Empleado'!$A$2:$A$236,'Sucursales Empleado'!$B$2:$B$236),""))</f>
        <v>Parmessano Nuestro Bogota</v>
      </c>
    </row>
    <row r="447" spans="1:4" ht="20.100000000000001" hidden="1" customHeight="1" x14ac:dyDescent="0.45">
      <c r="A447" s="3">
        <v>53118295</v>
      </c>
      <c r="B447" s="2" t="s">
        <v>1251</v>
      </c>
      <c r="C447" s="2" t="s">
        <v>471</v>
      </c>
      <c r="D447" s="10" t="str">
        <f>IFERROR(_xlfn.XLOOKUP($A447&amp;"",Hoja1!$C$2:$C$253,Hoja1!$D$2:$D$253),IFERROR(_xlfn.XLOOKUP($A447,'Sucursales Empleado'!$A$2:$A$236,'Sucursales Empleado'!$B$2:$B$236),""))</f>
        <v>Parmessano Nuestro Bogota</v>
      </c>
    </row>
    <row r="448" spans="1:4" ht="20.100000000000001" hidden="1" customHeight="1" x14ac:dyDescent="0.45">
      <c r="A448" s="3">
        <v>53118295</v>
      </c>
      <c r="B448" s="2" t="s">
        <v>39</v>
      </c>
      <c r="C448" s="2" t="s">
        <v>472</v>
      </c>
      <c r="D448" s="10" t="str">
        <f>IFERROR(_xlfn.XLOOKUP($A448&amp;"",Hoja1!$C$2:$C$253,Hoja1!$D$2:$D$253),IFERROR(_xlfn.XLOOKUP($A448,'Sucursales Empleado'!$A$2:$A$236,'Sucursales Empleado'!$B$2:$B$236),""))</f>
        <v>Parmessano Nuestro Bogota</v>
      </c>
    </row>
    <row r="449" spans="1:4" ht="20.100000000000001" hidden="1" customHeight="1" x14ac:dyDescent="0.45">
      <c r="A449" s="3">
        <v>53118295</v>
      </c>
      <c r="B449" s="2" t="s">
        <v>37</v>
      </c>
      <c r="C449" s="2" t="s">
        <v>471</v>
      </c>
      <c r="D449" s="10" t="str">
        <f>IFERROR(_xlfn.XLOOKUP($A449&amp;"",Hoja1!$C$2:$C$253,Hoja1!$D$2:$D$253),IFERROR(_xlfn.XLOOKUP($A449,'Sucursales Empleado'!$A$2:$A$236,'Sucursales Empleado'!$B$2:$B$236),""))</f>
        <v>Parmessano Nuestro Bogota</v>
      </c>
    </row>
    <row r="450" spans="1:4" ht="20.100000000000001" hidden="1" customHeight="1" x14ac:dyDescent="0.45">
      <c r="A450" s="3">
        <v>79602473</v>
      </c>
      <c r="B450" s="2" t="s">
        <v>42</v>
      </c>
      <c r="C450" s="2" t="s">
        <v>472</v>
      </c>
      <c r="D450" s="10" t="str">
        <f>IFERROR(_xlfn.XLOOKUP($A450&amp;"",Hoja1!$C$2:$C$253,Hoja1!$D$2:$D$253),IFERROR(_xlfn.XLOOKUP($A450,'Sucursales Empleado'!$A$2:$A$236,'Sucursales Empleado'!$B$2:$B$236),""))</f>
        <v>Parmessano Nuestro Bogota</v>
      </c>
    </row>
    <row r="451" spans="1:4" ht="20.100000000000001" hidden="1" customHeight="1" x14ac:dyDescent="0.45">
      <c r="A451" s="3">
        <v>79602473</v>
      </c>
      <c r="B451" s="2" t="s">
        <v>40</v>
      </c>
      <c r="C451" s="2" t="s">
        <v>473</v>
      </c>
      <c r="D451" s="10" t="str">
        <f>IFERROR(_xlfn.XLOOKUP($A451&amp;"",Hoja1!$C$2:$C$253,Hoja1!$D$2:$D$253),IFERROR(_xlfn.XLOOKUP($A451,'Sucursales Empleado'!$A$2:$A$236,'Sucursales Empleado'!$B$2:$B$236),""))</f>
        <v>Parmessano Nuestro Bogota</v>
      </c>
    </row>
    <row r="452" spans="1:4" ht="20.100000000000001" hidden="1" customHeight="1" x14ac:dyDescent="0.45">
      <c r="A452" s="3">
        <v>79602473</v>
      </c>
      <c r="B452" s="2" t="s">
        <v>41</v>
      </c>
      <c r="C452" s="2" t="s">
        <v>472</v>
      </c>
      <c r="D452" s="10" t="str">
        <f>IFERROR(_xlfn.XLOOKUP($A452&amp;"",Hoja1!$C$2:$C$253,Hoja1!$D$2:$D$253),IFERROR(_xlfn.XLOOKUP($A452,'Sucursales Empleado'!$A$2:$A$236,'Sucursales Empleado'!$B$2:$B$236),""))</f>
        <v>Parmessano Nuestro Bogota</v>
      </c>
    </row>
    <row r="453" spans="1:4" ht="20.100000000000001" hidden="1" customHeight="1" x14ac:dyDescent="0.45">
      <c r="A453" s="3">
        <v>79602473</v>
      </c>
      <c r="B453" s="2" t="s">
        <v>1251</v>
      </c>
      <c r="C453" s="2" t="s">
        <v>471</v>
      </c>
      <c r="D453" s="10" t="str">
        <f>IFERROR(_xlfn.XLOOKUP($A453&amp;"",Hoja1!$C$2:$C$253,Hoja1!$D$2:$D$253),IFERROR(_xlfn.XLOOKUP($A453,'Sucursales Empleado'!$A$2:$A$236,'Sucursales Empleado'!$B$2:$B$236),""))</f>
        <v>Parmessano Nuestro Bogota</v>
      </c>
    </row>
    <row r="454" spans="1:4" ht="20.100000000000001" hidden="1" customHeight="1" x14ac:dyDescent="0.45">
      <c r="A454" s="3">
        <v>79602473</v>
      </c>
      <c r="B454" s="2" t="s">
        <v>39</v>
      </c>
      <c r="C454" s="2" t="s">
        <v>471</v>
      </c>
      <c r="D454" s="10" t="str">
        <f>IFERROR(_xlfn.XLOOKUP($A454&amp;"",Hoja1!$C$2:$C$253,Hoja1!$D$2:$D$253),IFERROR(_xlfn.XLOOKUP($A454,'Sucursales Empleado'!$A$2:$A$236,'Sucursales Empleado'!$B$2:$B$236),""))</f>
        <v>Parmessano Nuestro Bogota</v>
      </c>
    </row>
    <row r="455" spans="1:4" ht="20.100000000000001" hidden="1" customHeight="1" x14ac:dyDescent="0.45">
      <c r="A455" s="3">
        <v>79602473</v>
      </c>
      <c r="B455" s="2" t="s">
        <v>37</v>
      </c>
      <c r="C455" s="2" t="s">
        <v>471</v>
      </c>
      <c r="D455" s="10" t="str">
        <f>IFERROR(_xlfn.XLOOKUP($A455&amp;"",Hoja1!$C$2:$C$253,Hoja1!$D$2:$D$253),IFERROR(_xlfn.XLOOKUP($A455,'Sucursales Empleado'!$A$2:$A$236,'Sucursales Empleado'!$B$2:$B$236),""))</f>
        <v>Parmessano Nuestro Bogota</v>
      </c>
    </row>
    <row r="456" spans="1:4" ht="20.100000000000001" hidden="1" customHeight="1" x14ac:dyDescent="0.45">
      <c r="A456" s="3">
        <v>1000128690</v>
      </c>
      <c r="B456" s="2" t="s">
        <v>42</v>
      </c>
      <c r="C456" s="2" t="s">
        <v>473</v>
      </c>
      <c r="D456" s="10" t="str">
        <f>IFERROR(_xlfn.XLOOKUP($A456&amp;"",Hoja1!$C$2:$C$253,Hoja1!$D$2:$D$253),IFERROR(_xlfn.XLOOKUP($A456,'Sucursales Empleado'!$A$2:$A$236,'Sucursales Empleado'!$B$2:$B$236),""))</f>
        <v>Parmessano Nuestro Bogota</v>
      </c>
    </row>
    <row r="457" spans="1:4" ht="20.100000000000001" hidden="1" customHeight="1" x14ac:dyDescent="0.45">
      <c r="A457" s="3">
        <v>1000128690</v>
      </c>
      <c r="B457" s="2" t="s">
        <v>40</v>
      </c>
      <c r="C457" s="2" t="s">
        <v>471</v>
      </c>
      <c r="D457" s="10" t="str">
        <f>IFERROR(_xlfn.XLOOKUP($A457&amp;"",Hoja1!$C$2:$C$253,Hoja1!$D$2:$D$253),IFERROR(_xlfn.XLOOKUP($A457,'Sucursales Empleado'!$A$2:$A$236,'Sucursales Empleado'!$B$2:$B$236),""))</f>
        <v>Parmessano Nuestro Bogota</v>
      </c>
    </row>
    <row r="458" spans="1:4" ht="20.100000000000001" hidden="1" customHeight="1" x14ac:dyDescent="0.45">
      <c r="A458" s="3">
        <v>1000128690</v>
      </c>
      <c r="B458" s="2" t="s">
        <v>41</v>
      </c>
      <c r="C458" s="2" t="s">
        <v>472</v>
      </c>
      <c r="D458" s="10" t="str">
        <f>IFERROR(_xlfn.XLOOKUP($A458&amp;"",Hoja1!$C$2:$C$253,Hoja1!$D$2:$D$253),IFERROR(_xlfn.XLOOKUP($A458,'Sucursales Empleado'!$A$2:$A$236,'Sucursales Empleado'!$B$2:$B$236),""))</f>
        <v>Parmessano Nuestro Bogota</v>
      </c>
    </row>
    <row r="459" spans="1:4" ht="20.100000000000001" hidden="1" customHeight="1" x14ac:dyDescent="0.45">
      <c r="A459" s="3">
        <v>1000128690</v>
      </c>
      <c r="B459" s="2" t="s">
        <v>1251</v>
      </c>
      <c r="C459" s="2" t="s">
        <v>471</v>
      </c>
      <c r="D459" s="10" t="str">
        <f>IFERROR(_xlfn.XLOOKUP($A459&amp;"",Hoja1!$C$2:$C$253,Hoja1!$D$2:$D$253),IFERROR(_xlfn.XLOOKUP($A459,'Sucursales Empleado'!$A$2:$A$236,'Sucursales Empleado'!$B$2:$B$236),""))</f>
        <v>Parmessano Nuestro Bogota</v>
      </c>
    </row>
    <row r="460" spans="1:4" ht="20.100000000000001" hidden="1" customHeight="1" x14ac:dyDescent="0.45">
      <c r="A460" s="3">
        <v>1000128690</v>
      </c>
      <c r="B460" s="2" t="s">
        <v>39</v>
      </c>
      <c r="C460" s="2" t="s">
        <v>471</v>
      </c>
      <c r="D460" s="10" t="str">
        <f>IFERROR(_xlfn.XLOOKUP($A460&amp;"",Hoja1!$C$2:$C$253,Hoja1!$D$2:$D$253),IFERROR(_xlfn.XLOOKUP($A460,'Sucursales Empleado'!$A$2:$A$236,'Sucursales Empleado'!$B$2:$B$236),""))</f>
        <v>Parmessano Nuestro Bogota</v>
      </c>
    </row>
    <row r="461" spans="1:4" ht="20.100000000000001" hidden="1" customHeight="1" x14ac:dyDescent="0.45">
      <c r="A461" s="3">
        <v>1000128690</v>
      </c>
      <c r="B461" s="2" t="s">
        <v>37</v>
      </c>
      <c r="C461" s="2" t="s">
        <v>472</v>
      </c>
      <c r="D461" s="10" t="str">
        <f>IFERROR(_xlfn.XLOOKUP($A461&amp;"",Hoja1!$C$2:$C$253,Hoja1!$D$2:$D$253),IFERROR(_xlfn.XLOOKUP($A461,'Sucursales Empleado'!$A$2:$A$236,'Sucursales Empleado'!$B$2:$B$236),""))</f>
        <v>Parmessano Nuestro Bogota</v>
      </c>
    </row>
    <row r="462" spans="1:4" ht="20.100000000000001" hidden="1" customHeight="1" x14ac:dyDescent="0.45">
      <c r="A462" s="3">
        <v>1005740782</v>
      </c>
      <c r="B462" s="2" t="s">
        <v>42</v>
      </c>
      <c r="C462" s="2" t="s">
        <v>473</v>
      </c>
      <c r="D462" s="10" t="str">
        <f>IFERROR(_xlfn.XLOOKUP($A462&amp;"",Hoja1!$C$2:$C$253,Hoja1!$D$2:$D$253),IFERROR(_xlfn.XLOOKUP($A462,'Sucursales Empleado'!$A$2:$A$236,'Sucursales Empleado'!$B$2:$B$236),""))</f>
        <v>Parmessano Nuestro Bogota</v>
      </c>
    </row>
    <row r="463" spans="1:4" ht="20.100000000000001" hidden="1" customHeight="1" x14ac:dyDescent="0.45">
      <c r="A463" s="3">
        <v>1005740782</v>
      </c>
      <c r="B463" s="2" t="s">
        <v>40</v>
      </c>
      <c r="C463" s="2" t="s">
        <v>472</v>
      </c>
      <c r="D463" s="10" t="str">
        <f>IFERROR(_xlfn.XLOOKUP($A463&amp;"",Hoja1!$C$2:$C$253,Hoja1!$D$2:$D$253),IFERROR(_xlfn.XLOOKUP($A463,'Sucursales Empleado'!$A$2:$A$236,'Sucursales Empleado'!$B$2:$B$236),""))</f>
        <v>Parmessano Nuestro Bogota</v>
      </c>
    </row>
    <row r="464" spans="1:4" ht="20.100000000000001" hidden="1" customHeight="1" x14ac:dyDescent="0.45">
      <c r="A464" s="3">
        <v>1005740782</v>
      </c>
      <c r="B464" s="2" t="s">
        <v>41</v>
      </c>
      <c r="C464" s="2" t="s">
        <v>472</v>
      </c>
      <c r="D464" s="10" t="str">
        <f>IFERROR(_xlfn.XLOOKUP($A464&amp;"",Hoja1!$C$2:$C$253,Hoja1!$D$2:$D$253),IFERROR(_xlfn.XLOOKUP($A464,'Sucursales Empleado'!$A$2:$A$236,'Sucursales Empleado'!$B$2:$B$236),""))</f>
        <v>Parmessano Nuestro Bogota</v>
      </c>
    </row>
    <row r="465" spans="1:4" ht="20.100000000000001" hidden="1" customHeight="1" x14ac:dyDescent="0.45">
      <c r="A465" s="3">
        <v>1005740782</v>
      </c>
      <c r="B465" s="2" t="s">
        <v>1251</v>
      </c>
      <c r="C465" s="2" t="s">
        <v>473</v>
      </c>
      <c r="D465" s="10" t="str">
        <f>IFERROR(_xlfn.XLOOKUP($A465&amp;"",Hoja1!$C$2:$C$253,Hoja1!$D$2:$D$253),IFERROR(_xlfn.XLOOKUP($A465,'Sucursales Empleado'!$A$2:$A$236,'Sucursales Empleado'!$B$2:$B$236),""))</f>
        <v>Parmessano Nuestro Bogota</v>
      </c>
    </row>
    <row r="466" spans="1:4" ht="20.100000000000001" hidden="1" customHeight="1" x14ac:dyDescent="0.45">
      <c r="A466" s="3">
        <v>1005740782</v>
      </c>
      <c r="B466" s="2" t="s">
        <v>39</v>
      </c>
      <c r="C466" s="2" t="s">
        <v>472</v>
      </c>
      <c r="D466" s="10" t="str">
        <f>IFERROR(_xlfn.XLOOKUP($A466&amp;"",Hoja1!$C$2:$C$253,Hoja1!$D$2:$D$253),IFERROR(_xlfn.XLOOKUP($A466,'Sucursales Empleado'!$A$2:$A$236,'Sucursales Empleado'!$B$2:$B$236),""))</f>
        <v>Parmessano Nuestro Bogota</v>
      </c>
    </row>
    <row r="467" spans="1:4" ht="20.100000000000001" hidden="1" customHeight="1" x14ac:dyDescent="0.45">
      <c r="A467" s="3">
        <v>1005740782</v>
      </c>
      <c r="B467" s="2" t="s">
        <v>37</v>
      </c>
      <c r="C467" s="2" t="s">
        <v>471</v>
      </c>
      <c r="D467" s="10" t="str">
        <f>IFERROR(_xlfn.XLOOKUP($A467&amp;"",Hoja1!$C$2:$C$253,Hoja1!$D$2:$D$253),IFERROR(_xlfn.XLOOKUP($A467,'Sucursales Empleado'!$A$2:$A$236,'Sucursales Empleado'!$B$2:$B$236),""))</f>
        <v>Parmessano Nuestro Bogota</v>
      </c>
    </row>
    <row r="468" spans="1:4" ht="20.100000000000001" hidden="1" customHeight="1" x14ac:dyDescent="0.45">
      <c r="A468" s="3">
        <v>1047217016</v>
      </c>
      <c r="B468" s="2" t="s">
        <v>42</v>
      </c>
      <c r="C468" s="2" t="s">
        <v>472</v>
      </c>
      <c r="D468" s="10" t="str">
        <f>IFERROR(_xlfn.XLOOKUP($A468&amp;"",Hoja1!$C$2:$C$253,Hoja1!$D$2:$D$253),IFERROR(_xlfn.XLOOKUP($A468,'Sucursales Empleado'!$A$2:$A$236,'Sucursales Empleado'!$B$2:$B$236),""))</f>
        <v>Parmessano Nuestro Bogota</v>
      </c>
    </row>
    <row r="469" spans="1:4" ht="20.100000000000001" hidden="1" customHeight="1" x14ac:dyDescent="0.45">
      <c r="A469" s="3">
        <v>1047217016</v>
      </c>
      <c r="B469" s="2" t="s">
        <v>40</v>
      </c>
      <c r="C469" s="2" t="s">
        <v>472</v>
      </c>
      <c r="D469" s="10" t="str">
        <f>IFERROR(_xlfn.XLOOKUP($A469&amp;"",Hoja1!$C$2:$C$253,Hoja1!$D$2:$D$253),IFERROR(_xlfn.XLOOKUP($A469,'Sucursales Empleado'!$A$2:$A$236,'Sucursales Empleado'!$B$2:$B$236),""))</f>
        <v>Parmessano Nuestro Bogota</v>
      </c>
    </row>
    <row r="470" spans="1:4" ht="20.100000000000001" hidden="1" customHeight="1" x14ac:dyDescent="0.45">
      <c r="A470" s="3">
        <v>1047217016</v>
      </c>
      <c r="B470" s="2" t="s">
        <v>41</v>
      </c>
      <c r="C470" s="2" t="s">
        <v>472</v>
      </c>
      <c r="D470" s="10" t="str">
        <f>IFERROR(_xlfn.XLOOKUP($A470&amp;"",Hoja1!$C$2:$C$253,Hoja1!$D$2:$D$253),IFERROR(_xlfn.XLOOKUP($A470,'Sucursales Empleado'!$A$2:$A$236,'Sucursales Empleado'!$B$2:$B$236),""))</f>
        <v>Parmessano Nuestro Bogota</v>
      </c>
    </row>
    <row r="471" spans="1:4" ht="20.100000000000001" hidden="1" customHeight="1" x14ac:dyDescent="0.45">
      <c r="A471" s="3">
        <v>1047217016</v>
      </c>
      <c r="B471" s="2" t="s">
        <v>1251</v>
      </c>
      <c r="C471" s="2" t="s">
        <v>471</v>
      </c>
      <c r="D471" s="10" t="str">
        <f>IFERROR(_xlfn.XLOOKUP($A471&amp;"",Hoja1!$C$2:$C$253,Hoja1!$D$2:$D$253),IFERROR(_xlfn.XLOOKUP($A471,'Sucursales Empleado'!$A$2:$A$236,'Sucursales Empleado'!$B$2:$B$236),""))</f>
        <v>Parmessano Nuestro Bogota</v>
      </c>
    </row>
    <row r="472" spans="1:4" ht="20.100000000000001" hidden="1" customHeight="1" x14ac:dyDescent="0.45">
      <c r="A472" s="3">
        <v>1047217016</v>
      </c>
      <c r="B472" s="2" t="s">
        <v>39</v>
      </c>
      <c r="C472" s="2" t="s">
        <v>472</v>
      </c>
      <c r="D472" s="10" t="str">
        <f>IFERROR(_xlfn.XLOOKUP($A472&amp;"",Hoja1!$C$2:$C$253,Hoja1!$D$2:$D$253),IFERROR(_xlfn.XLOOKUP($A472,'Sucursales Empleado'!$A$2:$A$236,'Sucursales Empleado'!$B$2:$B$236),""))</f>
        <v>Parmessano Nuestro Bogota</v>
      </c>
    </row>
    <row r="473" spans="1:4" ht="20.100000000000001" hidden="1" customHeight="1" x14ac:dyDescent="0.45">
      <c r="A473" s="3">
        <v>1047217016</v>
      </c>
      <c r="B473" s="2" t="s">
        <v>37</v>
      </c>
      <c r="C473" s="2" t="s">
        <v>471</v>
      </c>
      <c r="D473" s="10" t="str">
        <f>IFERROR(_xlfn.XLOOKUP($A473&amp;"",Hoja1!$C$2:$C$253,Hoja1!$D$2:$D$253),IFERROR(_xlfn.XLOOKUP($A473,'Sucursales Empleado'!$A$2:$A$236,'Sucursales Empleado'!$B$2:$B$236),""))</f>
        <v>Parmessano Nuestro Bogota</v>
      </c>
    </row>
    <row r="474" spans="1:4" ht="20.100000000000001" hidden="1" customHeight="1" x14ac:dyDescent="0.45">
      <c r="A474" s="3">
        <v>1233688333</v>
      </c>
      <c r="B474" s="2" t="s">
        <v>42</v>
      </c>
      <c r="C474" s="2" t="s">
        <v>473</v>
      </c>
      <c r="D474" s="10" t="str">
        <f>IFERROR(_xlfn.XLOOKUP($A474&amp;"",Hoja1!$C$2:$C$253,Hoja1!$D$2:$D$253),IFERROR(_xlfn.XLOOKUP($A474,'Sucursales Empleado'!$A$2:$A$236,'Sucursales Empleado'!$B$2:$B$236),""))</f>
        <v>Parmessano Nuestro Bogota</v>
      </c>
    </row>
    <row r="475" spans="1:4" ht="20.100000000000001" hidden="1" customHeight="1" x14ac:dyDescent="0.45">
      <c r="A475" s="3">
        <v>1233688333</v>
      </c>
      <c r="B475" s="2" t="s">
        <v>40</v>
      </c>
      <c r="C475" s="2" t="s">
        <v>472</v>
      </c>
      <c r="D475" s="10" t="str">
        <f>IFERROR(_xlfn.XLOOKUP($A475&amp;"",Hoja1!$C$2:$C$253,Hoja1!$D$2:$D$253),IFERROR(_xlfn.XLOOKUP($A475,'Sucursales Empleado'!$A$2:$A$236,'Sucursales Empleado'!$B$2:$B$236),""))</f>
        <v>Parmessano Nuestro Bogota</v>
      </c>
    </row>
    <row r="476" spans="1:4" ht="20.100000000000001" hidden="1" customHeight="1" x14ac:dyDescent="0.45">
      <c r="A476" s="3">
        <v>1233688333</v>
      </c>
      <c r="B476" s="2" t="s">
        <v>41</v>
      </c>
      <c r="C476" s="2" t="s">
        <v>472</v>
      </c>
      <c r="D476" s="10" t="str">
        <f>IFERROR(_xlfn.XLOOKUP($A476&amp;"",Hoja1!$C$2:$C$253,Hoja1!$D$2:$D$253),IFERROR(_xlfn.XLOOKUP($A476,'Sucursales Empleado'!$A$2:$A$236,'Sucursales Empleado'!$B$2:$B$236),""))</f>
        <v>Parmessano Nuestro Bogota</v>
      </c>
    </row>
    <row r="477" spans="1:4" ht="20.100000000000001" hidden="1" customHeight="1" x14ac:dyDescent="0.45">
      <c r="A477" s="3">
        <v>1233688333</v>
      </c>
      <c r="B477" s="2" t="s">
        <v>1251</v>
      </c>
      <c r="C477" s="2" t="s">
        <v>471</v>
      </c>
      <c r="D477" s="10" t="str">
        <f>IFERROR(_xlfn.XLOOKUP($A477&amp;"",Hoja1!$C$2:$C$253,Hoja1!$D$2:$D$253),IFERROR(_xlfn.XLOOKUP($A477,'Sucursales Empleado'!$A$2:$A$236,'Sucursales Empleado'!$B$2:$B$236),""))</f>
        <v>Parmessano Nuestro Bogota</v>
      </c>
    </row>
    <row r="478" spans="1:4" ht="20.100000000000001" hidden="1" customHeight="1" x14ac:dyDescent="0.45">
      <c r="A478" s="3">
        <v>1233688333</v>
      </c>
      <c r="B478" s="2" t="s">
        <v>39</v>
      </c>
      <c r="C478" s="2" t="s">
        <v>472</v>
      </c>
      <c r="D478" s="10" t="str">
        <f>IFERROR(_xlfn.XLOOKUP($A478&amp;"",Hoja1!$C$2:$C$253,Hoja1!$D$2:$D$253),IFERROR(_xlfn.XLOOKUP($A478,'Sucursales Empleado'!$A$2:$A$236,'Sucursales Empleado'!$B$2:$B$236),""))</f>
        <v>Parmessano Nuestro Bogota</v>
      </c>
    </row>
    <row r="479" spans="1:4" ht="20.100000000000001" hidden="1" customHeight="1" x14ac:dyDescent="0.45">
      <c r="A479" s="3">
        <v>1233688333</v>
      </c>
      <c r="B479" s="2" t="s">
        <v>37</v>
      </c>
      <c r="C479" s="2" t="s">
        <v>471</v>
      </c>
      <c r="D479" s="10" t="str">
        <f>IFERROR(_xlfn.XLOOKUP($A479&amp;"",Hoja1!$C$2:$C$253,Hoja1!$D$2:$D$253),IFERROR(_xlfn.XLOOKUP($A479,'Sucursales Empleado'!$A$2:$A$236,'Sucursales Empleado'!$B$2:$B$236),""))</f>
        <v>Parmessano Nuestro Bogota</v>
      </c>
    </row>
    <row r="480" spans="1:4" ht="20.100000000000001" hidden="1" customHeight="1" x14ac:dyDescent="0.45">
      <c r="A480" s="3">
        <v>1234894275</v>
      </c>
      <c r="B480" s="2" t="s">
        <v>42</v>
      </c>
      <c r="C480" s="2" t="s">
        <v>472</v>
      </c>
      <c r="D480" s="10" t="str">
        <f>IFERROR(_xlfn.XLOOKUP($A480&amp;"",Hoja1!$C$2:$C$253,Hoja1!$D$2:$D$253),IFERROR(_xlfn.XLOOKUP($A480,'Sucursales Empleado'!$A$2:$A$236,'Sucursales Empleado'!$B$2:$B$236),""))</f>
        <v>Parmessano Nuestro Bogota</v>
      </c>
    </row>
    <row r="481" spans="1:4" ht="20.100000000000001" hidden="1" customHeight="1" x14ac:dyDescent="0.45">
      <c r="A481" s="3">
        <v>1234894275</v>
      </c>
      <c r="B481" s="2" t="s">
        <v>40</v>
      </c>
      <c r="C481" s="2" t="s">
        <v>473</v>
      </c>
      <c r="D481" s="10" t="str">
        <f>IFERROR(_xlfn.XLOOKUP($A481&amp;"",Hoja1!$C$2:$C$253,Hoja1!$D$2:$D$253),IFERROR(_xlfn.XLOOKUP($A481,'Sucursales Empleado'!$A$2:$A$236,'Sucursales Empleado'!$B$2:$B$236),""))</f>
        <v>Parmessano Nuestro Bogota</v>
      </c>
    </row>
    <row r="482" spans="1:4" ht="20.100000000000001" hidden="1" customHeight="1" x14ac:dyDescent="0.45">
      <c r="A482" s="3">
        <v>1234894275</v>
      </c>
      <c r="B482" s="2" t="s">
        <v>41</v>
      </c>
      <c r="C482" s="2" t="s">
        <v>472</v>
      </c>
      <c r="D482" s="10" t="str">
        <f>IFERROR(_xlfn.XLOOKUP($A482&amp;"",Hoja1!$C$2:$C$253,Hoja1!$D$2:$D$253),IFERROR(_xlfn.XLOOKUP($A482,'Sucursales Empleado'!$A$2:$A$236,'Sucursales Empleado'!$B$2:$B$236),""))</f>
        <v>Parmessano Nuestro Bogota</v>
      </c>
    </row>
    <row r="483" spans="1:4" ht="20.100000000000001" hidden="1" customHeight="1" x14ac:dyDescent="0.45">
      <c r="A483" s="3">
        <v>1234894275</v>
      </c>
      <c r="B483" s="2" t="s">
        <v>1251</v>
      </c>
      <c r="C483" s="2" t="s">
        <v>471</v>
      </c>
      <c r="D483" s="10" t="str">
        <f>IFERROR(_xlfn.XLOOKUP($A483&amp;"",Hoja1!$C$2:$C$253,Hoja1!$D$2:$D$253),IFERROR(_xlfn.XLOOKUP($A483,'Sucursales Empleado'!$A$2:$A$236,'Sucursales Empleado'!$B$2:$B$236),""))</f>
        <v>Parmessano Nuestro Bogota</v>
      </c>
    </row>
    <row r="484" spans="1:4" ht="20.100000000000001" hidden="1" customHeight="1" x14ac:dyDescent="0.45">
      <c r="A484" s="3">
        <v>1234894275</v>
      </c>
      <c r="B484" s="2" t="s">
        <v>39</v>
      </c>
      <c r="C484" s="2" t="s">
        <v>471</v>
      </c>
      <c r="D484" s="10" t="str">
        <f>IFERROR(_xlfn.XLOOKUP($A484&amp;"",Hoja1!$C$2:$C$253,Hoja1!$D$2:$D$253),IFERROR(_xlfn.XLOOKUP($A484,'Sucursales Empleado'!$A$2:$A$236,'Sucursales Empleado'!$B$2:$B$236),""))</f>
        <v>Parmessano Nuestro Bogota</v>
      </c>
    </row>
    <row r="485" spans="1:4" ht="20.100000000000001" hidden="1" customHeight="1" x14ac:dyDescent="0.45">
      <c r="A485" s="3">
        <v>1234894275</v>
      </c>
      <c r="B485" s="2" t="s">
        <v>37</v>
      </c>
      <c r="C485" s="2" t="s">
        <v>473</v>
      </c>
      <c r="D485" s="10" t="str">
        <f>IFERROR(_xlfn.XLOOKUP($A485&amp;"",Hoja1!$C$2:$C$253,Hoja1!$D$2:$D$253),IFERROR(_xlfn.XLOOKUP($A485,'Sucursales Empleado'!$A$2:$A$236,'Sucursales Empleado'!$B$2:$B$236),""))</f>
        <v>Parmessano Nuestro Bogota</v>
      </c>
    </row>
    <row r="486" spans="1:4" ht="20.100000000000001" hidden="1" customHeight="1" x14ac:dyDescent="0.45">
      <c r="A486" s="3">
        <v>1069154044</v>
      </c>
      <c r="B486" s="2" t="s">
        <v>42</v>
      </c>
      <c r="C486" s="2" t="s">
        <v>471</v>
      </c>
      <c r="D486" s="10" t="str">
        <f>IFERROR(_xlfn.XLOOKUP($A486&amp;"",Hoja1!$C$2:$C$253,Hoja1!$D$2:$D$253),IFERROR(_xlfn.XLOOKUP($A486,'Sucursales Empleado'!$A$2:$A$236,'Sucursales Empleado'!$B$2:$B$236),""))</f>
        <v>Parmessano Nuestro Bogota</v>
      </c>
    </row>
    <row r="487" spans="1:4" ht="20.100000000000001" hidden="1" customHeight="1" x14ac:dyDescent="0.45">
      <c r="A487" s="3">
        <v>1069154044</v>
      </c>
      <c r="B487" s="2" t="s">
        <v>40</v>
      </c>
      <c r="C487" s="2" t="s">
        <v>471</v>
      </c>
      <c r="D487" s="10" t="str">
        <f>IFERROR(_xlfn.XLOOKUP($A487&amp;"",Hoja1!$C$2:$C$253,Hoja1!$D$2:$D$253),IFERROR(_xlfn.XLOOKUP($A487,'Sucursales Empleado'!$A$2:$A$236,'Sucursales Empleado'!$B$2:$B$236),""))</f>
        <v>Parmessano Nuestro Bogota</v>
      </c>
    </row>
    <row r="488" spans="1:4" ht="20.100000000000001" hidden="1" customHeight="1" x14ac:dyDescent="0.45">
      <c r="A488" s="3">
        <v>1069154044</v>
      </c>
      <c r="B488" s="2" t="s">
        <v>41</v>
      </c>
      <c r="C488" s="2" t="s">
        <v>471</v>
      </c>
      <c r="D488" s="10" t="str">
        <f>IFERROR(_xlfn.XLOOKUP($A488&amp;"",Hoja1!$C$2:$C$253,Hoja1!$D$2:$D$253),IFERROR(_xlfn.XLOOKUP($A488,'Sucursales Empleado'!$A$2:$A$236,'Sucursales Empleado'!$B$2:$B$236),""))</f>
        <v>Parmessano Nuestro Bogota</v>
      </c>
    </row>
    <row r="489" spans="1:4" ht="20.100000000000001" hidden="1" customHeight="1" x14ac:dyDescent="0.45">
      <c r="A489" s="3">
        <v>1069154044</v>
      </c>
      <c r="B489" s="2" t="s">
        <v>1251</v>
      </c>
      <c r="C489" s="2" t="s">
        <v>471</v>
      </c>
      <c r="D489" s="10" t="str">
        <f>IFERROR(_xlfn.XLOOKUP($A489&amp;"",Hoja1!$C$2:$C$253,Hoja1!$D$2:$D$253),IFERROR(_xlfn.XLOOKUP($A489,'Sucursales Empleado'!$A$2:$A$236,'Sucursales Empleado'!$B$2:$B$236),""))</f>
        <v>Parmessano Nuestro Bogota</v>
      </c>
    </row>
    <row r="490" spans="1:4" ht="20.100000000000001" hidden="1" customHeight="1" x14ac:dyDescent="0.45">
      <c r="A490" s="3">
        <v>1069154044</v>
      </c>
      <c r="B490" s="2" t="s">
        <v>39</v>
      </c>
      <c r="C490" s="2" t="s">
        <v>471</v>
      </c>
      <c r="D490" s="10" t="str">
        <f>IFERROR(_xlfn.XLOOKUP($A490&amp;"",Hoja1!$C$2:$C$253,Hoja1!$D$2:$D$253),IFERROR(_xlfn.XLOOKUP($A490,'Sucursales Empleado'!$A$2:$A$236,'Sucursales Empleado'!$B$2:$B$236),""))</f>
        <v>Parmessano Nuestro Bogota</v>
      </c>
    </row>
    <row r="491" spans="1:4" ht="20.100000000000001" hidden="1" customHeight="1" x14ac:dyDescent="0.45">
      <c r="A491" s="3">
        <v>1069154044</v>
      </c>
      <c r="B491" s="2" t="s">
        <v>37</v>
      </c>
      <c r="C491" s="2" t="s">
        <v>471</v>
      </c>
      <c r="D491" s="10" t="str">
        <f>IFERROR(_xlfn.XLOOKUP($A491&amp;"",Hoja1!$C$2:$C$253,Hoja1!$D$2:$D$253),IFERROR(_xlfn.XLOOKUP($A491,'Sucursales Empleado'!$A$2:$A$236,'Sucursales Empleado'!$B$2:$B$236),""))</f>
        <v>Parmessano Nuestro Bogota</v>
      </c>
    </row>
    <row r="492" spans="1:4" ht="20.100000000000001" hidden="1" customHeight="1" x14ac:dyDescent="0.45">
      <c r="A492" s="3">
        <v>4873181</v>
      </c>
      <c r="B492" s="2" t="s">
        <v>53</v>
      </c>
      <c r="C492" s="2" t="s">
        <v>472</v>
      </c>
      <c r="D492" s="10" t="str">
        <f>IFERROR(_xlfn.XLOOKUP($A492&amp;"",Hoja1!$C$2:$C$253,Hoja1!$D$2:$D$253),IFERROR(_xlfn.XLOOKUP($A492,'Sucursales Empleado'!$A$2:$A$236,'Sucursales Empleado'!$B$2:$B$236),""))</f>
        <v>Parmessano Nuestro Bogota</v>
      </c>
    </row>
    <row r="493" spans="1:4" ht="20.100000000000001" hidden="1" customHeight="1" x14ac:dyDescent="0.45">
      <c r="A493" s="3">
        <v>4873181</v>
      </c>
      <c r="B493" s="2" t="s">
        <v>1251</v>
      </c>
      <c r="C493" s="2" t="s">
        <v>472</v>
      </c>
      <c r="D493" s="10" t="str">
        <f>IFERROR(_xlfn.XLOOKUP($A493&amp;"",Hoja1!$C$2:$C$253,Hoja1!$D$2:$D$253),IFERROR(_xlfn.XLOOKUP($A493,'Sucursales Empleado'!$A$2:$A$236,'Sucursales Empleado'!$B$2:$B$236),""))</f>
        <v>Parmessano Nuestro Bogota</v>
      </c>
    </row>
    <row r="494" spans="1:4" ht="20.100000000000001" hidden="1" customHeight="1" x14ac:dyDescent="0.45">
      <c r="A494" s="3">
        <v>1052836126</v>
      </c>
      <c r="B494" s="2" t="s">
        <v>47</v>
      </c>
      <c r="C494" s="2" t="s">
        <v>472</v>
      </c>
      <c r="D494" s="10" t="str">
        <f>IFERROR(_xlfn.XLOOKUP($A494&amp;"",Hoja1!$C$2:$C$253,Hoja1!$D$2:$D$253),IFERROR(_xlfn.XLOOKUP($A494,'Sucursales Empleado'!$A$2:$A$236,'Sucursales Empleado'!$B$2:$B$236),""))</f>
        <v>Parmessano Nuestro Bogota</v>
      </c>
    </row>
    <row r="495" spans="1:4" ht="20.100000000000001" hidden="1" customHeight="1" x14ac:dyDescent="0.45">
      <c r="A495" s="3">
        <v>1052836126</v>
      </c>
      <c r="B495" s="2" t="s">
        <v>48</v>
      </c>
      <c r="C495" s="2" t="s">
        <v>472</v>
      </c>
      <c r="D495" s="10" t="str">
        <f>IFERROR(_xlfn.XLOOKUP($A495&amp;"",Hoja1!$C$2:$C$253,Hoja1!$D$2:$D$253),IFERROR(_xlfn.XLOOKUP($A495,'Sucursales Empleado'!$A$2:$A$236,'Sucursales Empleado'!$B$2:$B$236),""))</f>
        <v>Parmessano Nuestro Bogota</v>
      </c>
    </row>
    <row r="496" spans="1:4" ht="20.100000000000001" hidden="1" customHeight="1" x14ac:dyDescent="0.45">
      <c r="A496" s="3">
        <v>52778145</v>
      </c>
      <c r="B496" s="2" t="s">
        <v>53</v>
      </c>
      <c r="C496" s="2" t="s">
        <v>472</v>
      </c>
      <c r="D496" s="10" t="str">
        <f>IFERROR(_xlfn.XLOOKUP($A496&amp;"",Hoja1!$C$2:$C$253,Hoja1!$D$2:$D$253),IFERROR(_xlfn.XLOOKUP($A496,'Sucursales Empleado'!$A$2:$A$236,'Sucursales Empleado'!$B$2:$B$236),""))</f>
        <v>Parmessano Nuestro Bogota</v>
      </c>
    </row>
    <row r="497" spans="1:4" ht="20.100000000000001" hidden="1" customHeight="1" x14ac:dyDescent="0.45">
      <c r="A497" s="3">
        <v>52778145</v>
      </c>
      <c r="B497" s="2" t="s">
        <v>1251</v>
      </c>
      <c r="C497" s="2" t="s">
        <v>472</v>
      </c>
      <c r="D497" s="10" t="str">
        <f>IFERROR(_xlfn.XLOOKUP($A497&amp;"",Hoja1!$C$2:$C$253,Hoja1!$D$2:$D$253),IFERROR(_xlfn.XLOOKUP($A497,'Sucursales Empleado'!$A$2:$A$236,'Sucursales Empleado'!$B$2:$B$236),""))</f>
        <v>Parmessano Nuestro Bogota</v>
      </c>
    </row>
    <row r="498" spans="1:4" ht="20.100000000000001" hidden="1" customHeight="1" x14ac:dyDescent="0.45">
      <c r="A498" s="3">
        <v>52778145</v>
      </c>
      <c r="B498" s="2" t="s">
        <v>1936</v>
      </c>
      <c r="C498" s="2" t="s">
        <v>472</v>
      </c>
      <c r="D498" s="10" t="str">
        <f>IFERROR(_xlfn.XLOOKUP($A498&amp;"",Hoja1!$C$2:$C$253,Hoja1!$D$2:$D$253),IFERROR(_xlfn.XLOOKUP($A498,'Sucursales Empleado'!$A$2:$A$236,'Sucursales Empleado'!$B$2:$B$236),""))</f>
        <v>Parmessano Nuestro Bogota</v>
      </c>
    </row>
    <row r="499" spans="1:4" ht="20.100000000000001" hidden="1" customHeight="1" x14ac:dyDescent="0.45">
      <c r="A499" s="3">
        <v>53007874</v>
      </c>
      <c r="B499" s="2" t="s">
        <v>53</v>
      </c>
      <c r="C499" s="2" t="s">
        <v>472</v>
      </c>
      <c r="D499" s="10" t="str">
        <f>IFERROR(_xlfn.XLOOKUP($A499&amp;"",Hoja1!$C$2:$C$253,Hoja1!$D$2:$D$253),IFERROR(_xlfn.XLOOKUP($A499,'Sucursales Empleado'!$A$2:$A$236,'Sucursales Empleado'!$B$2:$B$236),""))</f>
        <v>Parmessano Nuestro Bogota</v>
      </c>
    </row>
    <row r="500" spans="1:4" ht="20.100000000000001" hidden="1" customHeight="1" x14ac:dyDescent="0.45">
      <c r="A500" s="3">
        <v>53007874</v>
      </c>
      <c r="B500" s="2" t="s">
        <v>1251</v>
      </c>
      <c r="C500" s="2" t="s">
        <v>472</v>
      </c>
      <c r="D500" s="10" t="str">
        <f>IFERROR(_xlfn.XLOOKUP($A500&amp;"",Hoja1!$C$2:$C$253,Hoja1!$D$2:$D$253),IFERROR(_xlfn.XLOOKUP($A500,'Sucursales Empleado'!$A$2:$A$236,'Sucursales Empleado'!$B$2:$B$236),""))</f>
        <v>Parmessano Nuestro Bogota</v>
      </c>
    </row>
    <row r="501" spans="1:4" ht="20.100000000000001" hidden="1" customHeight="1" x14ac:dyDescent="0.45">
      <c r="A501" s="3">
        <v>53007874</v>
      </c>
      <c r="B501" s="2" t="s">
        <v>1254</v>
      </c>
      <c r="C501" s="2" t="s">
        <v>472</v>
      </c>
      <c r="D501" s="10" t="str">
        <f>IFERROR(_xlfn.XLOOKUP($A501&amp;"",Hoja1!$C$2:$C$253,Hoja1!$D$2:$D$253),IFERROR(_xlfn.XLOOKUP($A501,'Sucursales Empleado'!$A$2:$A$236,'Sucursales Empleado'!$B$2:$B$236),""))</f>
        <v>Parmessano Nuestro Bogota</v>
      </c>
    </row>
    <row r="502" spans="1:4" ht="20.100000000000001" hidden="1" customHeight="1" x14ac:dyDescent="0.45">
      <c r="A502" s="3">
        <v>1057893263</v>
      </c>
      <c r="B502" s="2" t="s">
        <v>53</v>
      </c>
      <c r="C502" s="2" t="s">
        <v>472</v>
      </c>
      <c r="D502" s="10" t="str">
        <f>IFERROR(_xlfn.XLOOKUP($A502&amp;"",Hoja1!$C$2:$C$253,Hoja1!$D$2:$D$253),IFERROR(_xlfn.XLOOKUP($A502,'Sucursales Empleado'!$A$2:$A$236,'Sucursales Empleado'!$B$2:$B$236),""))</f>
        <v>Parmessano Nuestro Bogota</v>
      </c>
    </row>
    <row r="503" spans="1:4" ht="20.100000000000001" hidden="1" customHeight="1" x14ac:dyDescent="0.45">
      <c r="A503" s="3">
        <v>1057893263</v>
      </c>
      <c r="B503" s="2" t="s">
        <v>1251</v>
      </c>
      <c r="C503" s="2" t="s">
        <v>472</v>
      </c>
      <c r="D503" s="10" t="str">
        <f>IFERROR(_xlfn.XLOOKUP($A503&amp;"",Hoja1!$C$2:$C$253,Hoja1!$D$2:$D$253),IFERROR(_xlfn.XLOOKUP($A503,'Sucursales Empleado'!$A$2:$A$236,'Sucursales Empleado'!$B$2:$B$236),""))</f>
        <v>Parmessano Nuestro Bogota</v>
      </c>
    </row>
    <row r="504" spans="1:4" ht="20.100000000000001" hidden="1" customHeight="1" x14ac:dyDescent="0.45">
      <c r="A504" s="3">
        <v>1057893263</v>
      </c>
      <c r="B504" s="2" t="s">
        <v>1253</v>
      </c>
      <c r="C504" s="2" t="s">
        <v>472</v>
      </c>
      <c r="D504" s="10" t="str">
        <f>IFERROR(_xlfn.XLOOKUP($A504&amp;"",Hoja1!$C$2:$C$253,Hoja1!$D$2:$D$253),IFERROR(_xlfn.XLOOKUP($A504,'Sucursales Empleado'!$A$2:$A$236,'Sucursales Empleado'!$B$2:$B$236),""))</f>
        <v>Parmessano Nuestro Bogota</v>
      </c>
    </row>
    <row r="505" spans="1:4" ht="20.100000000000001" hidden="1" customHeight="1" x14ac:dyDescent="0.45">
      <c r="A505" s="3">
        <v>1000121345</v>
      </c>
      <c r="B505" s="2" t="s">
        <v>53</v>
      </c>
      <c r="C505" s="2" t="s">
        <v>472</v>
      </c>
      <c r="D505" s="10" t="str">
        <f>IFERROR(_xlfn.XLOOKUP($A505&amp;"",Hoja1!$C$2:$C$253,Hoja1!$D$2:$D$253),IFERROR(_xlfn.XLOOKUP($A505,'Sucursales Empleado'!$A$2:$A$236,'Sucursales Empleado'!$B$2:$B$236),""))</f>
        <v>Parmessano Nuestro Bogota</v>
      </c>
    </row>
    <row r="506" spans="1:4" ht="20.100000000000001" hidden="1" customHeight="1" x14ac:dyDescent="0.45">
      <c r="A506" s="3">
        <v>1000121345</v>
      </c>
      <c r="B506" s="2" t="s">
        <v>1251</v>
      </c>
      <c r="C506" s="2" t="s">
        <v>472</v>
      </c>
      <c r="D506" s="10" t="str">
        <f>IFERROR(_xlfn.XLOOKUP($A506&amp;"",Hoja1!$C$2:$C$253,Hoja1!$D$2:$D$253),IFERROR(_xlfn.XLOOKUP($A506,'Sucursales Empleado'!$A$2:$A$236,'Sucursales Empleado'!$B$2:$B$236),""))</f>
        <v>Parmessano Nuestro Bogota</v>
      </c>
    </row>
    <row r="507" spans="1:4" ht="20.100000000000001" hidden="1" customHeight="1" x14ac:dyDescent="0.45">
      <c r="A507" s="3">
        <v>1000121345</v>
      </c>
      <c r="B507" s="2" t="s">
        <v>1253</v>
      </c>
      <c r="C507" s="2" t="s">
        <v>472</v>
      </c>
      <c r="D507" s="10" t="str">
        <f>IFERROR(_xlfn.XLOOKUP($A507&amp;"",Hoja1!$C$2:$C$253,Hoja1!$D$2:$D$253),IFERROR(_xlfn.XLOOKUP($A507,'Sucursales Empleado'!$A$2:$A$236,'Sucursales Empleado'!$B$2:$B$236),""))</f>
        <v>Parmessano Nuestro Bogota</v>
      </c>
    </row>
    <row r="508" spans="1:4" ht="20.100000000000001" hidden="1" customHeight="1" x14ac:dyDescent="0.45">
      <c r="A508" s="3">
        <v>1000689153</v>
      </c>
      <c r="B508" s="2" t="s">
        <v>50</v>
      </c>
      <c r="C508" s="2" t="s">
        <v>472</v>
      </c>
      <c r="D508" s="10" t="str">
        <f>IFERROR(_xlfn.XLOOKUP($A508&amp;"",Hoja1!$C$2:$C$253,Hoja1!$D$2:$D$253),IFERROR(_xlfn.XLOOKUP($A508,'Sucursales Empleado'!$A$2:$A$236,'Sucursales Empleado'!$B$2:$B$236),""))</f>
        <v>Parmessano Nuestro Bogota</v>
      </c>
    </row>
    <row r="509" spans="1:4" ht="20.100000000000001" hidden="1" customHeight="1" x14ac:dyDescent="0.45">
      <c r="A509" s="3">
        <v>1000689153</v>
      </c>
      <c r="B509" s="2" t="s">
        <v>1253</v>
      </c>
      <c r="C509" s="2" t="s">
        <v>472</v>
      </c>
      <c r="D509" s="10" t="str">
        <f>IFERROR(_xlfn.XLOOKUP($A509&amp;"",Hoja1!$C$2:$C$253,Hoja1!$D$2:$D$253),IFERROR(_xlfn.XLOOKUP($A509,'Sucursales Empleado'!$A$2:$A$236,'Sucursales Empleado'!$B$2:$B$236),""))</f>
        <v>Parmessano Nuestro Bogota</v>
      </c>
    </row>
    <row r="510" spans="1:4" ht="20.100000000000001" hidden="1" customHeight="1" x14ac:dyDescent="0.45">
      <c r="A510" s="3">
        <v>1000689153</v>
      </c>
      <c r="B510" s="2" t="s">
        <v>51</v>
      </c>
      <c r="C510" s="2" t="s">
        <v>472</v>
      </c>
      <c r="D510" s="10" t="str">
        <f>IFERROR(_xlfn.XLOOKUP($A510&amp;"",Hoja1!$C$2:$C$253,Hoja1!$D$2:$D$253),IFERROR(_xlfn.XLOOKUP($A510,'Sucursales Empleado'!$A$2:$A$236,'Sucursales Empleado'!$B$2:$B$236),""))</f>
        <v>Parmessano Nuestro Bogota</v>
      </c>
    </row>
    <row r="511" spans="1:4" ht="20.100000000000001" hidden="1" customHeight="1" x14ac:dyDescent="0.45">
      <c r="A511" s="3">
        <v>1013102692</v>
      </c>
      <c r="B511" s="2" t="s">
        <v>50</v>
      </c>
      <c r="C511" s="2" t="s">
        <v>472</v>
      </c>
      <c r="D511" s="10" t="str">
        <f>IFERROR(_xlfn.XLOOKUP($A511&amp;"",Hoja1!$C$2:$C$253,Hoja1!$D$2:$D$253),IFERROR(_xlfn.XLOOKUP($A511,'Sucursales Empleado'!$A$2:$A$236,'Sucursales Empleado'!$B$2:$B$236),""))</f>
        <v>Parmessano Nuestro Bogota</v>
      </c>
    </row>
    <row r="512" spans="1:4" ht="20.100000000000001" hidden="1" customHeight="1" x14ac:dyDescent="0.45">
      <c r="A512" s="3">
        <v>1013102692</v>
      </c>
      <c r="B512" s="2" t="s">
        <v>1254</v>
      </c>
      <c r="C512" s="2" t="s">
        <v>472</v>
      </c>
      <c r="D512" s="10" t="str">
        <f>IFERROR(_xlfn.XLOOKUP($A512&amp;"",Hoja1!$C$2:$C$253,Hoja1!$D$2:$D$253),IFERROR(_xlfn.XLOOKUP($A512,'Sucursales Empleado'!$A$2:$A$236,'Sucursales Empleado'!$B$2:$B$236),""))</f>
        <v>Parmessano Nuestro Bogota</v>
      </c>
    </row>
    <row r="513" spans="1:4" ht="20.100000000000001" hidden="1" customHeight="1" x14ac:dyDescent="0.45">
      <c r="A513" s="3">
        <v>1013102692</v>
      </c>
      <c r="B513" s="2" t="s">
        <v>51</v>
      </c>
      <c r="C513" s="2" t="s">
        <v>472</v>
      </c>
      <c r="D513" s="10" t="str">
        <f>IFERROR(_xlfn.XLOOKUP($A513&amp;"",Hoja1!$C$2:$C$253,Hoja1!$D$2:$D$253),IFERROR(_xlfn.XLOOKUP($A513,'Sucursales Empleado'!$A$2:$A$236,'Sucursales Empleado'!$B$2:$B$236),""))</f>
        <v>Parmessano Nuestro Bogota</v>
      </c>
    </row>
    <row r="514" spans="1:4" ht="20.100000000000001" hidden="1" customHeight="1" x14ac:dyDescent="0.45">
      <c r="A514" s="3">
        <v>6661910</v>
      </c>
      <c r="B514" s="2" t="s">
        <v>53</v>
      </c>
      <c r="C514" s="2" t="s">
        <v>472</v>
      </c>
      <c r="D514" s="10" t="str">
        <f>IFERROR(_xlfn.XLOOKUP($A514&amp;"",Hoja1!$C$2:$C$253,Hoja1!$D$2:$D$253),IFERROR(_xlfn.XLOOKUP($A514,'Sucursales Empleado'!$A$2:$A$236,'Sucursales Empleado'!$B$2:$B$236),""))</f>
        <v>Parmessano Nuestro Bogota</v>
      </c>
    </row>
    <row r="515" spans="1:4" ht="20.100000000000001" hidden="1" customHeight="1" x14ac:dyDescent="0.45">
      <c r="A515" s="3">
        <v>6661910</v>
      </c>
      <c r="B515" s="2" t="s">
        <v>1251</v>
      </c>
      <c r="C515" s="2" t="s">
        <v>472</v>
      </c>
      <c r="D515" s="10" t="str">
        <f>IFERROR(_xlfn.XLOOKUP($A515&amp;"",Hoja1!$C$2:$C$253,Hoja1!$D$2:$D$253),IFERROR(_xlfn.XLOOKUP($A515,'Sucursales Empleado'!$A$2:$A$236,'Sucursales Empleado'!$B$2:$B$236),""))</f>
        <v>Parmessano Nuestro Bogota</v>
      </c>
    </row>
    <row r="516" spans="1:4" ht="20.100000000000001" hidden="1" customHeight="1" x14ac:dyDescent="0.45">
      <c r="A516" s="3">
        <v>6661910</v>
      </c>
      <c r="B516" s="2" t="s">
        <v>1253</v>
      </c>
      <c r="C516" s="2" t="s">
        <v>472</v>
      </c>
      <c r="D516" s="10" t="str">
        <f>IFERROR(_xlfn.XLOOKUP($A516&amp;"",Hoja1!$C$2:$C$253,Hoja1!$D$2:$D$253),IFERROR(_xlfn.XLOOKUP($A516,'Sucursales Empleado'!$A$2:$A$236,'Sucursales Empleado'!$B$2:$B$236),""))</f>
        <v>Parmessano Nuestro Bogota</v>
      </c>
    </row>
    <row r="517" spans="1:4" ht="20.100000000000001" hidden="1" customHeight="1" x14ac:dyDescent="0.45">
      <c r="A517" s="3">
        <v>1012423376</v>
      </c>
      <c r="B517" s="2" t="s">
        <v>47</v>
      </c>
      <c r="C517" s="2" t="s">
        <v>472</v>
      </c>
      <c r="D517" s="10" t="str">
        <f>IFERROR(_xlfn.XLOOKUP($A517&amp;"",Hoja1!$C$2:$C$253,Hoja1!$D$2:$D$253),IFERROR(_xlfn.XLOOKUP($A517,'Sucursales Empleado'!$A$2:$A$236,'Sucursales Empleado'!$B$2:$B$236),""))</f>
        <v>Parmessano Nuestro Bogota</v>
      </c>
    </row>
    <row r="518" spans="1:4" ht="20.100000000000001" hidden="1" customHeight="1" x14ac:dyDescent="0.45">
      <c r="A518" s="3">
        <v>1012423376</v>
      </c>
      <c r="B518" s="2" t="s">
        <v>48</v>
      </c>
      <c r="C518" s="2" t="s">
        <v>472</v>
      </c>
      <c r="D518" s="10" t="str">
        <f>IFERROR(_xlfn.XLOOKUP($A518&amp;"",Hoja1!$C$2:$C$253,Hoja1!$D$2:$D$253),IFERROR(_xlfn.XLOOKUP($A518,'Sucursales Empleado'!$A$2:$A$236,'Sucursales Empleado'!$B$2:$B$236),""))</f>
        <v>Parmessano Nuestro Bogota</v>
      </c>
    </row>
    <row r="519" spans="1:4" ht="20.100000000000001" hidden="1" customHeight="1" x14ac:dyDescent="0.45">
      <c r="A519" s="3">
        <v>1012387879</v>
      </c>
      <c r="B519" s="2" t="s">
        <v>53</v>
      </c>
      <c r="C519" s="2" t="s">
        <v>472</v>
      </c>
      <c r="D519" s="10" t="str">
        <f>IFERROR(_xlfn.XLOOKUP($A519&amp;"",Hoja1!$C$2:$C$253,Hoja1!$D$2:$D$253),IFERROR(_xlfn.XLOOKUP($A519,'Sucursales Empleado'!$A$2:$A$236,'Sucursales Empleado'!$B$2:$B$236),""))</f>
        <v>Parmessano Nuestro Bogota</v>
      </c>
    </row>
    <row r="520" spans="1:4" ht="20.100000000000001" hidden="1" customHeight="1" x14ac:dyDescent="0.45">
      <c r="A520" s="3">
        <v>1012387879</v>
      </c>
      <c r="B520" s="2" t="s">
        <v>1251</v>
      </c>
      <c r="C520" s="2" t="s">
        <v>472</v>
      </c>
      <c r="D520" s="10" t="str">
        <f>IFERROR(_xlfn.XLOOKUP($A520&amp;"",Hoja1!$C$2:$C$253,Hoja1!$D$2:$D$253),IFERROR(_xlfn.XLOOKUP($A520,'Sucursales Empleado'!$A$2:$A$236,'Sucursales Empleado'!$B$2:$B$236),""))</f>
        <v>Parmessano Nuestro Bogota</v>
      </c>
    </row>
    <row r="521" spans="1:4" ht="20.100000000000001" hidden="1" customHeight="1" x14ac:dyDescent="0.45">
      <c r="A521" s="3">
        <v>1012387879</v>
      </c>
      <c r="B521" s="2" t="s">
        <v>1253</v>
      </c>
      <c r="C521" s="2" t="s">
        <v>472</v>
      </c>
      <c r="D521" s="10" t="str">
        <f>IFERROR(_xlfn.XLOOKUP($A521&amp;"",Hoja1!$C$2:$C$253,Hoja1!$D$2:$D$253),IFERROR(_xlfn.XLOOKUP($A521,'Sucursales Empleado'!$A$2:$A$236,'Sucursales Empleado'!$B$2:$B$236),""))</f>
        <v>Parmessano Nuestro Bogota</v>
      </c>
    </row>
    <row r="522" spans="1:4" ht="20.100000000000001" hidden="1" customHeight="1" x14ac:dyDescent="0.45">
      <c r="A522" s="3">
        <v>80187171</v>
      </c>
      <c r="B522" s="2" t="s">
        <v>53</v>
      </c>
      <c r="C522" s="2" t="s">
        <v>472</v>
      </c>
      <c r="D522" s="10" t="str">
        <f>IFERROR(_xlfn.XLOOKUP($A522&amp;"",Hoja1!$C$2:$C$253,Hoja1!$D$2:$D$253),IFERROR(_xlfn.XLOOKUP($A522,'Sucursales Empleado'!$A$2:$A$236,'Sucursales Empleado'!$B$2:$B$236),""))</f>
        <v>Parmessano Nuestro Bogota</v>
      </c>
    </row>
    <row r="523" spans="1:4" ht="20.100000000000001" hidden="1" customHeight="1" x14ac:dyDescent="0.45">
      <c r="A523" s="3">
        <v>80187171</v>
      </c>
      <c r="B523" s="2" t="s">
        <v>1251</v>
      </c>
      <c r="C523" s="2" t="s">
        <v>472</v>
      </c>
      <c r="D523" s="10" t="str">
        <f>IFERROR(_xlfn.XLOOKUP($A523&amp;"",Hoja1!$C$2:$C$253,Hoja1!$D$2:$D$253),IFERROR(_xlfn.XLOOKUP($A523,'Sucursales Empleado'!$A$2:$A$236,'Sucursales Empleado'!$B$2:$B$236),""))</f>
        <v>Parmessano Nuestro Bogota</v>
      </c>
    </row>
    <row r="524" spans="1:4" ht="20.100000000000001" hidden="1" customHeight="1" x14ac:dyDescent="0.45">
      <c r="A524" s="3">
        <v>80187171</v>
      </c>
      <c r="B524" s="2" t="s">
        <v>1253</v>
      </c>
      <c r="C524" s="2" t="s">
        <v>472</v>
      </c>
      <c r="D524" s="10" t="str">
        <f>IFERROR(_xlfn.XLOOKUP($A524&amp;"",Hoja1!$C$2:$C$253,Hoja1!$D$2:$D$253),IFERROR(_xlfn.XLOOKUP($A524,'Sucursales Empleado'!$A$2:$A$236,'Sucursales Empleado'!$B$2:$B$236),""))</f>
        <v>Parmessano Nuestro Bogota</v>
      </c>
    </row>
    <row r="525" spans="1:4" ht="20.100000000000001" hidden="1" customHeight="1" x14ac:dyDescent="0.45">
      <c r="A525" s="3">
        <v>1033694230</v>
      </c>
      <c r="B525" s="2" t="s">
        <v>47</v>
      </c>
      <c r="C525" s="2" t="s">
        <v>472</v>
      </c>
      <c r="D525" s="10" t="str">
        <f>IFERROR(_xlfn.XLOOKUP($A525&amp;"",Hoja1!$C$2:$C$253,Hoja1!$D$2:$D$253),IFERROR(_xlfn.XLOOKUP($A525,'Sucursales Empleado'!$A$2:$A$236,'Sucursales Empleado'!$B$2:$B$236),""))</f>
        <v>Parmessano Nuestro Bogota</v>
      </c>
    </row>
    <row r="526" spans="1:4" ht="20.100000000000001" hidden="1" customHeight="1" x14ac:dyDescent="0.45">
      <c r="A526" s="3">
        <v>1033694230</v>
      </c>
      <c r="B526" s="2" t="s">
        <v>48</v>
      </c>
      <c r="C526" s="2" t="s">
        <v>472</v>
      </c>
      <c r="D526" s="10" t="str">
        <f>IFERROR(_xlfn.XLOOKUP($A526&amp;"",Hoja1!$C$2:$C$253,Hoja1!$D$2:$D$253),IFERROR(_xlfn.XLOOKUP($A526,'Sucursales Empleado'!$A$2:$A$236,'Sucursales Empleado'!$B$2:$B$236),""))</f>
        <v>Parmessano Nuestro Bogota</v>
      </c>
    </row>
    <row r="527" spans="1:4" ht="20.100000000000001" hidden="1" customHeight="1" x14ac:dyDescent="0.45">
      <c r="A527" s="3">
        <v>1007294955</v>
      </c>
      <c r="B527" s="2" t="s">
        <v>55</v>
      </c>
      <c r="C527" s="2" t="s">
        <v>473</v>
      </c>
      <c r="D527" s="10" t="str">
        <f>IFERROR(_xlfn.XLOOKUP($A527&amp;"",Hoja1!$C$2:$C$253,Hoja1!$D$2:$D$253),IFERROR(_xlfn.XLOOKUP($A527,'Sucursales Empleado'!$A$2:$A$236,'Sucursales Empleado'!$B$2:$B$236),""))</f>
        <v>Parmessano Nuestro Bogota</v>
      </c>
    </row>
    <row r="528" spans="1:4" ht="20.100000000000001" hidden="1" customHeight="1" x14ac:dyDescent="0.45">
      <c r="A528" s="3">
        <v>1012429383</v>
      </c>
      <c r="B528" s="2" t="s">
        <v>50</v>
      </c>
      <c r="C528" s="2" t="s">
        <v>472</v>
      </c>
      <c r="D528" s="10" t="str">
        <f>IFERROR(_xlfn.XLOOKUP($A528&amp;"",Hoja1!$C$2:$C$253,Hoja1!$D$2:$D$253),IFERROR(_xlfn.XLOOKUP($A528,'Sucursales Empleado'!$A$2:$A$236,'Sucursales Empleado'!$B$2:$B$236),""))</f>
        <v>Parmessano Nuestro Bogota</v>
      </c>
    </row>
    <row r="529" spans="1:4" ht="20.100000000000001" hidden="1" customHeight="1" x14ac:dyDescent="0.45">
      <c r="A529" s="3">
        <v>1012429383</v>
      </c>
      <c r="B529" s="2" t="s">
        <v>1254</v>
      </c>
      <c r="C529" s="2" t="s">
        <v>472</v>
      </c>
      <c r="D529" s="10" t="str">
        <f>IFERROR(_xlfn.XLOOKUP($A529&amp;"",Hoja1!$C$2:$C$253,Hoja1!$D$2:$D$253),IFERROR(_xlfn.XLOOKUP($A529,'Sucursales Empleado'!$A$2:$A$236,'Sucursales Empleado'!$B$2:$B$236),""))</f>
        <v>Parmessano Nuestro Bogota</v>
      </c>
    </row>
    <row r="530" spans="1:4" ht="20.100000000000001" hidden="1" customHeight="1" x14ac:dyDescent="0.45">
      <c r="A530" s="3">
        <v>1012429383</v>
      </c>
      <c r="B530" s="2" t="s">
        <v>51</v>
      </c>
      <c r="C530" s="2" t="s">
        <v>472</v>
      </c>
      <c r="D530" s="10" t="str">
        <f>IFERROR(_xlfn.XLOOKUP($A530&amp;"",Hoja1!$C$2:$C$253,Hoja1!$D$2:$D$253),IFERROR(_xlfn.XLOOKUP($A530,'Sucursales Empleado'!$A$2:$A$236,'Sucursales Empleado'!$B$2:$B$236),""))</f>
        <v>Parmessano Nuestro Bogota</v>
      </c>
    </row>
    <row r="531" spans="1:4" ht="20.100000000000001" hidden="1" customHeight="1" x14ac:dyDescent="0.45">
      <c r="A531" s="3">
        <v>79786359</v>
      </c>
      <c r="B531" s="2" t="s">
        <v>53</v>
      </c>
      <c r="C531" s="2" t="s">
        <v>471</v>
      </c>
      <c r="D531" s="10" t="str">
        <f>IFERROR(_xlfn.XLOOKUP($A531&amp;"",Hoja1!$C$2:$C$253,Hoja1!$D$2:$D$253),IFERROR(_xlfn.XLOOKUP($A531,'Sucursales Empleado'!$A$2:$A$236,'Sucursales Empleado'!$B$2:$B$236),""))</f>
        <v>Parmessano Nuestro Bogota</v>
      </c>
    </row>
    <row r="532" spans="1:4" ht="20.100000000000001" hidden="1" customHeight="1" x14ac:dyDescent="0.45">
      <c r="A532" s="3">
        <v>79786359</v>
      </c>
      <c r="B532" s="2" t="s">
        <v>1251</v>
      </c>
      <c r="C532" s="2" t="s">
        <v>471</v>
      </c>
      <c r="D532" s="10" t="str">
        <f>IFERROR(_xlfn.XLOOKUP($A532&amp;"",Hoja1!$C$2:$C$253,Hoja1!$D$2:$D$253),IFERROR(_xlfn.XLOOKUP($A532,'Sucursales Empleado'!$A$2:$A$236,'Sucursales Empleado'!$B$2:$B$236),""))</f>
        <v>Parmessano Nuestro Bogota</v>
      </c>
    </row>
    <row r="533" spans="1:4" ht="20.100000000000001" hidden="1" customHeight="1" x14ac:dyDescent="0.45">
      <c r="A533" s="3">
        <v>79786359</v>
      </c>
      <c r="B533" s="2" t="s">
        <v>1253</v>
      </c>
      <c r="C533" s="2" t="s">
        <v>471</v>
      </c>
      <c r="D533" s="10" t="str">
        <f>IFERROR(_xlfn.XLOOKUP($A533&amp;"",Hoja1!$C$2:$C$253,Hoja1!$D$2:$D$253),IFERROR(_xlfn.XLOOKUP($A533,'Sucursales Empleado'!$A$2:$A$236,'Sucursales Empleado'!$B$2:$B$236),""))</f>
        <v>Parmessano Nuestro Bogota</v>
      </c>
    </row>
    <row r="534" spans="1:4" ht="20.100000000000001" hidden="1" customHeight="1" x14ac:dyDescent="0.45">
      <c r="A534" s="3">
        <v>4987108</v>
      </c>
      <c r="B534" s="2" t="s">
        <v>50</v>
      </c>
      <c r="C534" s="2" t="s">
        <v>473</v>
      </c>
      <c r="D534" s="10" t="str">
        <f>IFERROR(_xlfn.XLOOKUP($A534&amp;"",Hoja1!$C$2:$C$253,Hoja1!$D$2:$D$253),IFERROR(_xlfn.XLOOKUP($A534,'Sucursales Empleado'!$A$2:$A$236,'Sucursales Empleado'!$B$2:$B$236),""))</f>
        <v>Parmessano Nuestro Bogota</v>
      </c>
    </row>
    <row r="535" spans="1:4" ht="20.100000000000001" hidden="1" customHeight="1" x14ac:dyDescent="0.45">
      <c r="A535" s="3">
        <v>4987108</v>
      </c>
      <c r="B535" s="2" t="s">
        <v>1254</v>
      </c>
      <c r="C535" s="2" t="s">
        <v>473</v>
      </c>
      <c r="D535" s="10" t="str">
        <f>IFERROR(_xlfn.XLOOKUP($A535&amp;"",Hoja1!$C$2:$C$253,Hoja1!$D$2:$D$253),IFERROR(_xlfn.XLOOKUP($A535,'Sucursales Empleado'!$A$2:$A$236,'Sucursales Empleado'!$B$2:$B$236),""))</f>
        <v>Parmessano Nuestro Bogota</v>
      </c>
    </row>
    <row r="536" spans="1:4" ht="20.100000000000001" hidden="1" customHeight="1" x14ac:dyDescent="0.45">
      <c r="A536" s="3">
        <v>4987108</v>
      </c>
      <c r="B536" s="2" t="s">
        <v>51</v>
      </c>
      <c r="C536" s="2" t="s">
        <v>473</v>
      </c>
      <c r="D536" s="10" t="str">
        <f>IFERROR(_xlfn.XLOOKUP($A536&amp;"",Hoja1!$C$2:$C$253,Hoja1!$D$2:$D$253),IFERROR(_xlfn.XLOOKUP($A536,'Sucursales Empleado'!$A$2:$A$236,'Sucursales Empleado'!$B$2:$B$236),""))</f>
        <v>Parmessano Nuestro Bogota</v>
      </c>
    </row>
    <row r="537" spans="1:4" ht="20.100000000000001" hidden="1" customHeight="1" x14ac:dyDescent="0.45">
      <c r="A537" s="3">
        <v>1075305300</v>
      </c>
      <c r="B537" s="2" t="s">
        <v>53</v>
      </c>
      <c r="C537" s="2" t="s">
        <v>471</v>
      </c>
      <c r="D537" s="10" t="str">
        <f>IFERROR(_xlfn.XLOOKUP($A537&amp;"",Hoja1!$C$2:$C$253,Hoja1!$D$2:$D$253),IFERROR(_xlfn.XLOOKUP($A537,'Sucursales Empleado'!$A$2:$A$236,'Sucursales Empleado'!$B$2:$B$236),""))</f>
        <v>Parmessano Nuestro Bogota</v>
      </c>
    </row>
    <row r="538" spans="1:4" ht="20.100000000000001" hidden="1" customHeight="1" x14ac:dyDescent="0.45">
      <c r="A538" s="3">
        <v>1075305300</v>
      </c>
      <c r="B538" s="2" t="s">
        <v>1251</v>
      </c>
      <c r="C538" s="2" t="s">
        <v>471</v>
      </c>
      <c r="D538" s="10" t="str">
        <f>IFERROR(_xlfn.XLOOKUP($A538&amp;"",Hoja1!$C$2:$C$253,Hoja1!$D$2:$D$253),IFERROR(_xlfn.XLOOKUP($A538,'Sucursales Empleado'!$A$2:$A$236,'Sucursales Empleado'!$B$2:$B$236),""))</f>
        <v>Parmessano Nuestro Bogota</v>
      </c>
    </row>
    <row r="539" spans="1:4" ht="20.100000000000001" hidden="1" customHeight="1" x14ac:dyDescent="0.45">
      <c r="A539" s="3">
        <v>1075305300</v>
      </c>
      <c r="B539" s="2" t="s">
        <v>1253</v>
      </c>
      <c r="C539" s="2" t="s">
        <v>471</v>
      </c>
      <c r="D539" s="10" t="str">
        <f>IFERROR(_xlfn.XLOOKUP($A539&amp;"",Hoja1!$C$2:$C$253,Hoja1!$D$2:$D$253),IFERROR(_xlfn.XLOOKUP($A539,'Sucursales Empleado'!$A$2:$A$236,'Sucursales Empleado'!$B$2:$B$236),""))</f>
        <v>Parmessano Nuestro Bogota</v>
      </c>
    </row>
    <row r="540" spans="1:4" ht="20.100000000000001" hidden="1" customHeight="1" x14ac:dyDescent="0.45">
      <c r="A540" s="3">
        <v>1003812236</v>
      </c>
      <c r="B540" s="2" t="s">
        <v>53</v>
      </c>
      <c r="C540" s="2" t="s">
        <v>471</v>
      </c>
      <c r="D540" s="10" t="str">
        <f>IFERROR(_xlfn.XLOOKUP($A540&amp;"",Hoja1!$C$2:$C$253,Hoja1!$D$2:$D$253),IFERROR(_xlfn.XLOOKUP($A540,'Sucursales Empleado'!$A$2:$A$236,'Sucursales Empleado'!$B$2:$B$236),""))</f>
        <v>Parmessano Nuestro Bogota</v>
      </c>
    </row>
    <row r="541" spans="1:4" ht="20.100000000000001" hidden="1" customHeight="1" x14ac:dyDescent="0.45">
      <c r="A541" s="3">
        <v>1003812236</v>
      </c>
      <c r="B541" s="2" t="s">
        <v>55</v>
      </c>
      <c r="C541" s="2" t="s">
        <v>471</v>
      </c>
      <c r="D541" s="10" t="str">
        <f>IFERROR(_xlfn.XLOOKUP($A541&amp;"",Hoja1!$C$2:$C$253,Hoja1!$D$2:$D$253),IFERROR(_xlfn.XLOOKUP($A541,'Sucursales Empleado'!$A$2:$A$236,'Sucursales Empleado'!$B$2:$B$236),""))</f>
        <v>Parmessano Nuestro Bogota</v>
      </c>
    </row>
    <row r="542" spans="1:4" ht="20.100000000000001" hidden="1" customHeight="1" x14ac:dyDescent="0.45">
      <c r="A542" s="13">
        <v>1029143869</v>
      </c>
      <c r="B542" s="11" t="s">
        <v>37</v>
      </c>
      <c r="C542" s="11" t="s">
        <v>471</v>
      </c>
      <c r="D542" s="11" t="str">
        <f>IFERROR(_xlfn.XLOOKUP($A542&amp;"",Hoja1!$C$2:$C$290,Hoja1!$D$2:$D$290),IFERROR(_xlfn.XLOOKUP($A542,'Sucursales Empleado'!$A$2:$A$265,'Sucursales Empleado'!$B$2:$B$265),""))</f>
        <v>Parmessano Nuestro Bogota</v>
      </c>
    </row>
    <row r="543" spans="1:4" ht="20.100000000000001" hidden="1" customHeight="1" x14ac:dyDescent="0.45">
      <c r="A543" s="13">
        <v>1029143869</v>
      </c>
      <c r="B543" s="11" t="s">
        <v>39</v>
      </c>
      <c r="C543" s="11" t="s">
        <v>471</v>
      </c>
      <c r="D543" s="11" t="str">
        <f>IFERROR(_xlfn.XLOOKUP($A543&amp;"",Hoja1!$C$2:$C$290,Hoja1!$D$2:$D$290),IFERROR(_xlfn.XLOOKUP($A543,'Sucursales Empleado'!$A$2:$A$265,'Sucursales Empleado'!$B$2:$B$265),""))</f>
        <v>Parmessano Nuestro Bogota</v>
      </c>
    </row>
    <row r="544" spans="1:4" ht="20.100000000000001" hidden="1" customHeight="1" x14ac:dyDescent="0.45">
      <c r="A544" s="13">
        <v>1029143869</v>
      </c>
      <c r="B544" s="11" t="s">
        <v>40</v>
      </c>
      <c r="C544" s="11" t="s">
        <v>471</v>
      </c>
      <c r="D544" s="11" t="str">
        <f>IFERROR(_xlfn.XLOOKUP($A544&amp;"",Hoja1!$C$2:$C$290,Hoja1!$D$2:$D$290),IFERROR(_xlfn.XLOOKUP($A544,'Sucursales Empleado'!$A$2:$A$265,'Sucursales Empleado'!$B$2:$B$265),""))</f>
        <v>Parmessano Nuestro Bogota</v>
      </c>
    </row>
    <row r="545" spans="1:4" ht="20.100000000000001" hidden="1" customHeight="1" x14ac:dyDescent="0.45">
      <c r="A545" s="13">
        <v>1029143869</v>
      </c>
      <c r="B545" s="11" t="s">
        <v>41</v>
      </c>
      <c r="C545" s="11" t="s">
        <v>471</v>
      </c>
      <c r="D545" s="11" t="str">
        <f>IFERROR(_xlfn.XLOOKUP($A545&amp;"",Hoja1!$C$2:$C$290,Hoja1!$D$2:$D$290),IFERROR(_xlfn.XLOOKUP($A545,'Sucursales Empleado'!$A$2:$A$265,'Sucursales Empleado'!$B$2:$B$265),""))</f>
        <v>Parmessano Nuestro Bogota</v>
      </c>
    </row>
    <row r="546" spans="1:4" ht="20.100000000000001" hidden="1" customHeight="1" x14ac:dyDescent="0.45">
      <c r="A546" s="13">
        <v>1029143869</v>
      </c>
      <c r="B546" s="11" t="s">
        <v>42</v>
      </c>
      <c r="C546" s="11" t="s">
        <v>471</v>
      </c>
      <c r="D546" s="11" t="str">
        <f>IFERROR(_xlfn.XLOOKUP($A546&amp;"",Hoja1!$C$2:$C$290,Hoja1!$D$2:$D$290),IFERROR(_xlfn.XLOOKUP($A546,'Sucursales Empleado'!$A$2:$A$265,'Sucursales Empleado'!$B$2:$B$265),""))</f>
        <v>Parmessano Nuestro Bogota</v>
      </c>
    </row>
    <row r="547" spans="1:4" ht="20.100000000000001" hidden="1" customHeight="1" x14ac:dyDescent="0.45">
      <c r="A547" s="13">
        <v>1029143869</v>
      </c>
      <c r="B547" s="11" t="s">
        <v>1251</v>
      </c>
      <c r="C547" s="11" t="s">
        <v>471</v>
      </c>
      <c r="D547" s="11" t="str">
        <f>IFERROR(_xlfn.XLOOKUP($A547&amp;"",Hoja1!$C$2:$C$290,Hoja1!$D$2:$D$290),IFERROR(_xlfn.XLOOKUP($A547,'Sucursales Empleado'!$A$2:$A$265,'Sucursales Empleado'!$B$2:$B$265),""))</f>
        <v>Parmessano Nuestro Bogota</v>
      </c>
    </row>
    <row r="548" spans="1:4" ht="20.100000000000001" hidden="1" customHeight="1" x14ac:dyDescent="0.45">
      <c r="A548" s="13">
        <v>1029143869</v>
      </c>
      <c r="B548" s="11" t="s">
        <v>44</v>
      </c>
      <c r="C548" s="11" t="s">
        <v>471</v>
      </c>
      <c r="D548" s="11" t="str">
        <f>IFERROR(_xlfn.XLOOKUP($A548&amp;"",Hoja1!$C$2:$C$290,Hoja1!$D$2:$D$290),IFERROR(_xlfn.XLOOKUP($A548,'Sucursales Empleado'!$A$2:$A$265,'Sucursales Empleado'!$B$2:$B$265),""))</f>
        <v>Parmessano Nuestro Bogota</v>
      </c>
    </row>
    <row r="549" spans="1:4" ht="20.100000000000001" hidden="1" customHeight="1" x14ac:dyDescent="0.45">
      <c r="A549" s="13">
        <v>1029143869</v>
      </c>
      <c r="B549" s="11" t="s">
        <v>45</v>
      </c>
      <c r="C549" s="11" t="s">
        <v>471</v>
      </c>
      <c r="D549" s="11" t="str">
        <f>IFERROR(_xlfn.XLOOKUP($A549&amp;"",Hoja1!$C$2:$C$290,Hoja1!$D$2:$D$290),IFERROR(_xlfn.XLOOKUP($A549,'Sucursales Empleado'!$A$2:$A$265,'Sucursales Empleado'!$B$2:$B$265),""))</f>
        <v>Parmessano Nuestro Bogota</v>
      </c>
    </row>
    <row r="550" spans="1:4" ht="20.100000000000001" hidden="1" customHeight="1" x14ac:dyDescent="0.45">
      <c r="A550" s="13">
        <v>1007434371</v>
      </c>
      <c r="B550" s="2" t="s">
        <v>53</v>
      </c>
      <c r="C550" s="11" t="s">
        <v>471</v>
      </c>
      <c r="D550" s="11" t="str">
        <f>IFERROR(_xlfn.XLOOKUP($A550&amp;"",Hoja1!$C$2:$C$290,Hoja1!$D$2:$D$290),IFERROR(_xlfn.XLOOKUP($A550,'Sucursales Empleado'!$A$2:$A$265,'Sucursales Empleado'!$B$2:$B$265),""))</f>
        <v>Parmessano Nuestro Bogota</v>
      </c>
    </row>
    <row r="551" spans="1:4" ht="20.100000000000001" customHeight="1" x14ac:dyDescent="0.45">
      <c r="A551" s="13">
        <v>1007434371</v>
      </c>
      <c r="B551" s="11" t="s">
        <v>1252</v>
      </c>
      <c r="C551" s="11" t="s">
        <v>471</v>
      </c>
      <c r="D551" s="11" t="str">
        <f>IFERROR(_xlfn.XLOOKUP($A551&amp;"",Hoja1!$C$2:$C$290,Hoja1!$D$2:$D$290),IFERROR(_xlfn.XLOOKUP($A551,'Sucursales Empleado'!$A$2:$A$265,'Sucursales Empleado'!$B$2:$B$265),""))</f>
        <v>Parmessano Nuestro Bogota</v>
      </c>
    </row>
    <row r="552" spans="1:4" ht="20.100000000000001" hidden="1" customHeight="1" x14ac:dyDescent="0.45">
      <c r="A552" s="13">
        <v>1007434371</v>
      </c>
      <c r="B552" s="11" t="s">
        <v>1254</v>
      </c>
      <c r="C552" s="11" t="s">
        <v>471</v>
      </c>
      <c r="D552" s="11" t="str">
        <f>IFERROR(_xlfn.XLOOKUP($A552&amp;"",Hoja1!$C$2:$C$290,Hoja1!$D$2:$D$290),IFERROR(_xlfn.XLOOKUP($A552,'Sucursales Empleado'!$A$2:$A$265,'Sucursales Empleado'!$B$2:$B$265),""))</f>
        <v>Parmessano Nuestro Bogota</v>
      </c>
    </row>
    <row r="553" spans="1:4" ht="20.100000000000001" hidden="1" customHeight="1" x14ac:dyDescent="0.45">
      <c r="A553" s="13">
        <v>1007434371</v>
      </c>
      <c r="B553" s="11" t="s">
        <v>50</v>
      </c>
      <c r="C553" s="11" t="s">
        <v>471</v>
      </c>
      <c r="D553" s="11" t="str">
        <f>IFERROR(_xlfn.XLOOKUP($A553&amp;"",Hoja1!$C$2:$C$290,Hoja1!$D$2:$D$290),IFERROR(_xlfn.XLOOKUP($A553,'Sucursales Empleado'!$A$2:$A$265,'Sucursales Empleado'!$B$2:$B$265),""))</f>
        <v>Parmessano Nuestro Bogota</v>
      </c>
    </row>
    <row r="554" spans="1:4" ht="20.100000000000001" hidden="1" customHeight="1" x14ac:dyDescent="0.45">
      <c r="A554" s="13">
        <v>1007434371</v>
      </c>
      <c r="B554" s="11" t="s">
        <v>51</v>
      </c>
      <c r="C554" s="11" t="s">
        <v>471</v>
      </c>
      <c r="D554" s="11" t="str">
        <f>IFERROR(_xlfn.XLOOKUP($A554&amp;"",Hoja1!$C$2:$C$290,Hoja1!$D$2:$D$290),IFERROR(_xlfn.XLOOKUP($A554,'Sucursales Empleado'!$A$2:$A$265,'Sucursales Empleado'!$B$2:$B$265),""))</f>
        <v>Parmessano Nuestro Bogota</v>
      </c>
    </row>
    <row r="555" spans="1:4" ht="20.100000000000001" hidden="1" customHeight="1" x14ac:dyDescent="0.45">
      <c r="A555" s="13">
        <v>1090441409</v>
      </c>
      <c r="B555" s="2" t="s">
        <v>53</v>
      </c>
      <c r="C555" s="11" t="s">
        <v>471</v>
      </c>
      <c r="D555" s="11" t="str">
        <f>IFERROR(_xlfn.XLOOKUP($A555&amp;"",Hoja1!$C$2:$C$290,Hoja1!$D$2:$D$290),IFERROR(_xlfn.XLOOKUP($A555,'Sucursales Empleado'!$A$2:$A$265,'Sucursales Empleado'!$B$2:$B$265),""))</f>
        <v>Parmessano Nuestro Bogota</v>
      </c>
    </row>
    <row r="556" spans="1:4" ht="20.100000000000001" customHeight="1" x14ac:dyDescent="0.45">
      <c r="A556" s="13">
        <v>1090441409</v>
      </c>
      <c r="B556" s="11" t="s">
        <v>1252</v>
      </c>
      <c r="C556" s="11" t="s">
        <v>471</v>
      </c>
      <c r="D556" s="11" t="str">
        <f>IFERROR(_xlfn.XLOOKUP($A556&amp;"",Hoja1!$C$2:$C$290,Hoja1!$D$2:$D$290),IFERROR(_xlfn.XLOOKUP($A556,'Sucursales Empleado'!$A$2:$A$265,'Sucursales Empleado'!$B$2:$B$265),""))</f>
        <v>Parmessano Nuestro Bogota</v>
      </c>
    </row>
    <row r="557" spans="1:4" ht="20.100000000000001" hidden="1" customHeight="1" x14ac:dyDescent="0.45">
      <c r="A557" s="13">
        <v>1090441409</v>
      </c>
      <c r="B557" s="11" t="s">
        <v>1254</v>
      </c>
      <c r="C557" s="11" t="s">
        <v>471</v>
      </c>
      <c r="D557" s="11" t="str">
        <f>IFERROR(_xlfn.XLOOKUP($A557&amp;"",Hoja1!$C$2:$C$290,Hoja1!$D$2:$D$290),IFERROR(_xlfn.XLOOKUP($A557,'Sucursales Empleado'!$A$2:$A$265,'Sucursales Empleado'!$B$2:$B$265),""))</f>
        <v>Parmessano Nuestro Bogota</v>
      </c>
    </row>
    <row r="558" spans="1:4" ht="20.100000000000001" hidden="1" customHeight="1" x14ac:dyDescent="0.45">
      <c r="A558" s="13">
        <v>1090441409</v>
      </c>
      <c r="B558" s="11" t="s">
        <v>50</v>
      </c>
      <c r="C558" s="11" t="s">
        <v>471</v>
      </c>
      <c r="D558" s="11" t="str">
        <f>IFERROR(_xlfn.XLOOKUP($A558&amp;"",Hoja1!$C$2:$C$290,Hoja1!$D$2:$D$290),IFERROR(_xlfn.XLOOKUP($A558,'Sucursales Empleado'!$A$2:$A$265,'Sucursales Empleado'!$B$2:$B$265),""))</f>
        <v>Parmessano Nuestro Bogota</v>
      </c>
    </row>
    <row r="559" spans="1:4" ht="20.100000000000001" hidden="1" customHeight="1" x14ac:dyDescent="0.45">
      <c r="A559" s="13">
        <v>1090441409</v>
      </c>
      <c r="B559" s="11" t="s">
        <v>51</v>
      </c>
      <c r="C559" s="11" t="s">
        <v>471</v>
      </c>
      <c r="D559" s="11" t="str">
        <f>IFERROR(_xlfn.XLOOKUP($A559&amp;"",Hoja1!$C$2:$C$290,Hoja1!$D$2:$D$290),IFERROR(_xlfn.XLOOKUP($A559,'Sucursales Empleado'!$A$2:$A$265,'Sucursales Empleado'!$B$2:$B$265),""))</f>
        <v>Parmessano Nuestro Bogota</v>
      </c>
    </row>
    <row r="560" spans="1:4" ht="20.100000000000001" hidden="1" customHeight="1" x14ac:dyDescent="0.45">
      <c r="A560" s="13">
        <v>1063619077</v>
      </c>
      <c r="B560" s="11" t="s">
        <v>37</v>
      </c>
      <c r="C560" s="11" t="s">
        <v>471</v>
      </c>
      <c r="D560" s="11" t="str">
        <f>IFERROR(_xlfn.XLOOKUP($A560&amp;"",Hoja1!$C$2:$C$290,Hoja1!$D$2:$D$290),IFERROR(_xlfn.XLOOKUP($A560,'Sucursales Empleado'!$A$2:$A$265,'Sucursales Empleado'!$B$2:$B$265),""))</f>
        <v>Parmessano Nuestro Bogota</v>
      </c>
    </row>
    <row r="561" spans="1:4" ht="20.100000000000001" hidden="1" customHeight="1" x14ac:dyDescent="0.45">
      <c r="A561" s="13">
        <v>1063619077</v>
      </c>
      <c r="B561" s="11" t="s">
        <v>39</v>
      </c>
      <c r="C561" s="11" t="s">
        <v>471</v>
      </c>
      <c r="D561" s="11" t="str">
        <f>IFERROR(_xlfn.XLOOKUP($A561&amp;"",Hoja1!$C$2:$C$290,Hoja1!$D$2:$D$290),IFERROR(_xlfn.XLOOKUP($A561,'Sucursales Empleado'!$A$2:$A$265,'Sucursales Empleado'!$B$2:$B$265),""))</f>
        <v>Parmessano Nuestro Bogota</v>
      </c>
    </row>
    <row r="562" spans="1:4" ht="20.100000000000001" hidden="1" customHeight="1" x14ac:dyDescent="0.45">
      <c r="A562" s="13">
        <v>1063619077</v>
      </c>
      <c r="B562" s="11" t="s">
        <v>40</v>
      </c>
      <c r="C562" s="11" t="s">
        <v>471</v>
      </c>
      <c r="D562" s="11" t="str">
        <f>IFERROR(_xlfn.XLOOKUP($A562&amp;"",Hoja1!$C$2:$C$290,Hoja1!$D$2:$D$290),IFERROR(_xlfn.XLOOKUP($A562,'Sucursales Empleado'!$A$2:$A$265,'Sucursales Empleado'!$B$2:$B$265),""))</f>
        <v>Parmessano Nuestro Bogota</v>
      </c>
    </row>
    <row r="563" spans="1:4" ht="20.100000000000001" hidden="1" customHeight="1" x14ac:dyDescent="0.45">
      <c r="A563" s="13">
        <v>1063619077</v>
      </c>
      <c r="B563" s="11" t="s">
        <v>41</v>
      </c>
      <c r="C563" s="11" t="s">
        <v>471</v>
      </c>
      <c r="D563" s="11" t="str">
        <f>IFERROR(_xlfn.XLOOKUP($A563&amp;"",Hoja1!$C$2:$C$290,Hoja1!$D$2:$D$290),IFERROR(_xlfn.XLOOKUP($A563,'Sucursales Empleado'!$A$2:$A$265,'Sucursales Empleado'!$B$2:$B$265),""))</f>
        <v>Parmessano Nuestro Bogota</v>
      </c>
    </row>
    <row r="564" spans="1:4" ht="20.100000000000001" hidden="1" customHeight="1" x14ac:dyDescent="0.45">
      <c r="A564" s="13">
        <v>1063619077</v>
      </c>
      <c r="B564" s="11" t="s">
        <v>42</v>
      </c>
      <c r="C564" s="11" t="s">
        <v>471</v>
      </c>
      <c r="D564" s="11" t="str">
        <f>IFERROR(_xlfn.XLOOKUP($A564&amp;"",Hoja1!$C$2:$C$290,Hoja1!$D$2:$D$290),IFERROR(_xlfn.XLOOKUP($A564,'Sucursales Empleado'!$A$2:$A$265,'Sucursales Empleado'!$B$2:$B$265),""))</f>
        <v>Parmessano Nuestro Bogota</v>
      </c>
    </row>
    <row r="565" spans="1:4" ht="20.100000000000001" hidden="1" customHeight="1" x14ac:dyDescent="0.45">
      <c r="A565" s="13">
        <v>1063619077</v>
      </c>
      <c r="B565" s="11" t="s">
        <v>1251</v>
      </c>
      <c r="C565" s="11" t="s">
        <v>471</v>
      </c>
      <c r="D565" s="11" t="str">
        <f>IFERROR(_xlfn.XLOOKUP($A565&amp;"",Hoja1!$C$2:$C$290,Hoja1!$D$2:$D$290),IFERROR(_xlfn.XLOOKUP($A565,'Sucursales Empleado'!$A$2:$A$265,'Sucursales Empleado'!$B$2:$B$265),""))</f>
        <v>Parmessano Nuestro Bogota</v>
      </c>
    </row>
    <row r="566" spans="1:4" ht="20.100000000000001" hidden="1" customHeight="1" x14ac:dyDescent="0.45">
      <c r="A566" s="13">
        <v>1063619077</v>
      </c>
      <c r="B566" s="11" t="s">
        <v>44</v>
      </c>
      <c r="C566" s="11" t="s">
        <v>471</v>
      </c>
      <c r="D566" s="11" t="str">
        <f>IFERROR(_xlfn.XLOOKUP($A566&amp;"",Hoja1!$C$2:$C$290,Hoja1!$D$2:$D$290),IFERROR(_xlfn.XLOOKUP($A566,'Sucursales Empleado'!$A$2:$A$265,'Sucursales Empleado'!$B$2:$B$265),""))</f>
        <v>Parmessano Nuestro Bogota</v>
      </c>
    </row>
    <row r="567" spans="1:4" ht="20.100000000000001" hidden="1" customHeight="1" x14ac:dyDescent="0.45">
      <c r="A567" s="13">
        <v>1063619077</v>
      </c>
      <c r="B567" s="11" t="s">
        <v>45</v>
      </c>
      <c r="C567" s="11" t="s">
        <v>471</v>
      </c>
      <c r="D567" s="11" t="str">
        <f>IFERROR(_xlfn.XLOOKUP($A567&amp;"",Hoja1!$C$2:$C$290,Hoja1!$D$2:$D$290),IFERROR(_xlfn.XLOOKUP($A567,'Sucursales Empleado'!$A$2:$A$265,'Sucursales Empleado'!$B$2:$B$265),""))</f>
        <v>Parmessano Nuestro Bogota</v>
      </c>
    </row>
    <row r="568" spans="1:4" ht="20.100000000000001" hidden="1" customHeight="1" x14ac:dyDescent="0.45">
      <c r="A568" s="13">
        <v>5204313</v>
      </c>
      <c r="B568" s="11" t="s">
        <v>37</v>
      </c>
      <c r="C568" s="11" t="s">
        <v>471</v>
      </c>
      <c r="D568" s="11" t="str">
        <f>IFERROR(_xlfn.XLOOKUP($A568&amp;"",Hoja1!$C$2:$C$290,Hoja1!$D$2:$D$290),IFERROR(_xlfn.XLOOKUP($A568,'Sucursales Empleado'!$A$2:$A$265,'Sucursales Empleado'!$B$2:$B$265),""))</f>
        <v>Parmessano Nuestro Bogota</v>
      </c>
    </row>
    <row r="569" spans="1:4" ht="20.100000000000001" hidden="1" customHeight="1" x14ac:dyDescent="0.45">
      <c r="A569" s="13">
        <v>5204313</v>
      </c>
      <c r="B569" s="11" t="s">
        <v>39</v>
      </c>
      <c r="C569" s="11" t="s">
        <v>471</v>
      </c>
      <c r="D569" s="11" t="str">
        <f>IFERROR(_xlfn.XLOOKUP($A569&amp;"",Hoja1!$C$2:$C$290,Hoja1!$D$2:$D$290),IFERROR(_xlfn.XLOOKUP($A569,'Sucursales Empleado'!$A$2:$A$265,'Sucursales Empleado'!$B$2:$B$265),""))</f>
        <v>Parmessano Nuestro Bogota</v>
      </c>
    </row>
    <row r="570" spans="1:4" ht="20.100000000000001" hidden="1" customHeight="1" x14ac:dyDescent="0.45">
      <c r="A570" s="13">
        <v>5204313</v>
      </c>
      <c r="B570" s="11" t="s">
        <v>40</v>
      </c>
      <c r="C570" s="11" t="s">
        <v>471</v>
      </c>
      <c r="D570" s="11" t="str">
        <f>IFERROR(_xlfn.XLOOKUP($A570&amp;"",Hoja1!$C$2:$C$290,Hoja1!$D$2:$D$290),IFERROR(_xlfn.XLOOKUP($A570,'Sucursales Empleado'!$A$2:$A$265,'Sucursales Empleado'!$B$2:$B$265),""))</f>
        <v>Parmessano Nuestro Bogota</v>
      </c>
    </row>
    <row r="571" spans="1:4" ht="20.100000000000001" hidden="1" customHeight="1" x14ac:dyDescent="0.45">
      <c r="A571" s="13">
        <v>5204313</v>
      </c>
      <c r="B571" s="11" t="s">
        <v>41</v>
      </c>
      <c r="C571" s="11" t="s">
        <v>471</v>
      </c>
      <c r="D571" s="11" t="str">
        <f>IFERROR(_xlfn.XLOOKUP($A571&amp;"",Hoja1!$C$2:$C$290,Hoja1!$D$2:$D$290),IFERROR(_xlfn.XLOOKUP($A571,'Sucursales Empleado'!$A$2:$A$265,'Sucursales Empleado'!$B$2:$B$265),""))</f>
        <v>Parmessano Nuestro Bogota</v>
      </c>
    </row>
    <row r="572" spans="1:4" ht="20.100000000000001" hidden="1" customHeight="1" x14ac:dyDescent="0.45">
      <c r="A572" s="13">
        <v>5204313</v>
      </c>
      <c r="B572" s="11" t="s">
        <v>42</v>
      </c>
      <c r="C572" s="11" t="s">
        <v>471</v>
      </c>
      <c r="D572" s="11" t="str">
        <f>IFERROR(_xlfn.XLOOKUP($A572&amp;"",Hoja1!$C$2:$C$290,Hoja1!$D$2:$D$290),IFERROR(_xlfn.XLOOKUP($A572,'Sucursales Empleado'!$A$2:$A$265,'Sucursales Empleado'!$B$2:$B$265),""))</f>
        <v>Parmessano Nuestro Bogota</v>
      </c>
    </row>
    <row r="573" spans="1:4" ht="20.100000000000001" hidden="1" customHeight="1" x14ac:dyDescent="0.45">
      <c r="A573" s="13">
        <v>5204313</v>
      </c>
      <c r="B573" s="11" t="s">
        <v>1251</v>
      </c>
      <c r="C573" s="11" t="s">
        <v>471</v>
      </c>
      <c r="D573" s="11" t="str">
        <f>IFERROR(_xlfn.XLOOKUP($A573&amp;"",Hoja1!$C$2:$C$290,Hoja1!$D$2:$D$290),IFERROR(_xlfn.XLOOKUP($A573,'Sucursales Empleado'!$A$2:$A$265,'Sucursales Empleado'!$B$2:$B$265),""))</f>
        <v>Parmessano Nuestro Bogota</v>
      </c>
    </row>
    <row r="574" spans="1:4" ht="20.100000000000001" hidden="1" customHeight="1" x14ac:dyDescent="0.45">
      <c r="A574" s="13">
        <v>5204313</v>
      </c>
      <c r="B574" s="11" t="s">
        <v>44</v>
      </c>
      <c r="C574" s="11" t="s">
        <v>471</v>
      </c>
      <c r="D574" s="11" t="str">
        <f>IFERROR(_xlfn.XLOOKUP($A574&amp;"",Hoja1!$C$2:$C$290,Hoja1!$D$2:$D$290),IFERROR(_xlfn.XLOOKUP($A574,'Sucursales Empleado'!$A$2:$A$265,'Sucursales Empleado'!$B$2:$B$265),""))</f>
        <v>Parmessano Nuestro Bogota</v>
      </c>
    </row>
    <row r="575" spans="1:4" ht="20.100000000000001" hidden="1" customHeight="1" x14ac:dyDescent="0.45">
      <c r="A575" s="13">
        <v>5204313</v>
      </c>
      <c r="B575" s="11" t="s">
        <v>45</v>
      </c>
      <c r="C575" s="11" t="s">
        <v>471</v>
      </c>
      <c r="D575" s="11" t="str">
        <f>IFERROR(_xlfn.XLOOKUP($A575&amp;"",Hoja1!$C$2:$C$290,Hoja1!$D$2:$D$290),IFERROR(_xlfn.XLOOKUP($A575,'Sucursales Empleado'!$A$2:$A$265,'Sucursales Empleado'!$B$2:$B$265),""))</f>
        <v>Parmessano Nuestro Bogota</v>
      </c>
    </row>
    <row r="576" spans="1:4" ht="20.100000000000001" hidden="1" customHeight="1" x14ac:dyDescent="0.45">
      <c r="A576" s="13">
        <v>1018491243</v>
      </c>
      <c r="B576" s="2" t="s">
        <v>53</v>
      </c>
      <c r="C576" s="11" t="s">
        <v>471</v>
      </c>
      <c r="D576" s="11" t="str">
        <f>IFERROR(_xlfn.XLOOKUP($A576&amp;"",Hoja1!$C$2:$C$290,Hoja1!$D$2:$D$290),IFERROR(_xlfn.XLOOKUP($A576,'Sucursales Empleado'!$A$2:$A$265,'Sucursales Empleado'!$B$2:$B$265),""))</f>
        <v>Parmessano Nuestro Bogota</v>
      </c>
    </row>
    <row r="577" spans="1:4" ht="20.100000000000001" customHeight="1" x14ac:dyDescent="0.45">
      <c r="A577" s="13">
        <v>1018491243</v>
      </c>
      <c r="B577" s="11" t="s">
        <v>1252</v>
      </c>
      <c r="C577" s="11" t="s">
        <v>471</v>
      </c>
      <c r="D577" s="11" t="str">
        <f>IFERROR(_xlfn.XLOOKUP($A577&amp;"",Hoja1!$C$2:$C$290,Hoja1!$D$2:$D$290),IFERROR(_xlfn.XLOOKUP($A577,'Sucursales Empleado'!$A$2:$A$265,'Sucursales Empleado'!$B$2:$B$265),""))</f>
        <v>Parmessano Nuestro Bogota</v>
      </c>
    </row>
    <row r="578" spans="1:4" ht="20.100000000000001" hidden="1" customHeight="1" x14ac:dyDescent="0.45">
      <c r="A578" s="13">
        <v>1018491243</v>
      </c>
      <c r="B578" s="11" t="s">
        <v>1254</v>
      </c>
      <c r="C578" s="11" t="s">
        <v>471</v>
      </c>
      <c r="D578" s="11" t="str">
        <f>IFERROR(_xlfn.XLOOKUP($A578&amp;"",Hoja1!$C$2:$C$290,Hoja1!$D$2:$D$290),IFERROR(_xlfn.XLOOKUP($A578,'Sucursales Empleado'!$A$2:$A$265,'Sucursales Empleado'!$B$2:$B$265),""))</f>
        <v>Parmessano Nuestro Bogota</v>
      </c>
    </row>
    <row r="579" spans="1:4" ht="20.100000000000001" hidden="1" customHeight="1" x14ac:dyDescent="0.45">
      <c r="A579" s="13">
        <v>1018491243</v>
      </c>
      <c r="B579" s="11" t="s">
        <v>50</v>
      </c>
      <c r="C579" s="11" t="s">
        <v>471</v>
      </c>
      <c r="D579" s="11" t="str">
        <f>IFERROR(_xlfn.XLOOKUP($A579&amp;"",Hoja1!$C$2:$C$290,Hoja1!$D$2:$D$290),IFERROR(_xlfn.XLOOKUP($A579,'Sucursales Empleado'!$A$2:$A$265,'Sucursales Empleado'!$B$2:$B$265),""))</f>
        <v>Parmessano Nuestro Bogota</v>
      </c>
    </row>
    <row r="580" spans="1:4" ht="20.100000000000001" hidden="1" customHeight="1" x14ac:dyDescent="0.45">
      <c r="A580" s="13">
        <v>1018491243</v>
      </c>
      <c r="B580" s="11" t="s">
        <v>51</v>
      </c>
      <c r="C580" s="11" t="s">
        <v>471</v>
      </c>
      <c r="D580" s="11" t="str">
        <f>IFERROR(_xlfn.XLOOKUP($A580&amp;"",Hoja1!$C$2:$C$290,Hoja1!$D$2:$D$290),IFERROR(_xlfn.XLOOKUP($A580,'Sucursales Empleado'!$A$2:$A$265,'Sucursales Empleado'!$B$2:$B$265),""))</f>
        <v>Parmessano Nuestro Bogota</v>
      </c>
    </row>
    <row r="581" spans="1:4" ht="20.100000000000001" hidden="1" customHeight="1" x14ac:dyDescent="0.45">
      <c r="A581" s="3">
        <v>1245634</v>
      </c>
      <c r="B581" s="2" t="s">
        <v>42</v>
      </c>
      <c r="C581" s="2" t="s">
        <v>472</v>
      </c>
      <c r="D581" s="10" t="str">
        <f>IFERROR(_xlfn.XLOOKUP($A581&amp;"",Hoja1!$C$2:$C$253,Hoja1!$D$2:$D$253),IFERROR(_xlfn.XLOOKUP($A581,'Sucursales Empleado'!$A$2:$A$236,'Sucursales Empleado'!$B$2:$B$236),""))</f>
        <v>Parmessano Santafe Bogota</v>
      </c>
    </row>
    <row r="582" spans="1:4" ht="20.100000000000001" hidden="1" customHeight="1" x14ac:dyDescent="0.45">
      <c r="A582" s="3">
        <v>1245634</v>
      </c>
      <c r="B582" s="2" t="s">
        <v>40</v>
      </c>
      <c r="C582" s="2" t="s">
        <v>472</v>
      </c>
      <c r="D582" s="10" t="str">
        <f>IFERROR(_xlfn.XLOOKUP($A582&amp;"",Hoja1!$C$2:$C$253,Hoja1!$D$2:$D$253),IFERROR(_xlfn.XLOOKUP($A582,'Sucursales Empleado'!$A$2:$A$236,'Sucursales Empleado'!$B$2:$B$236),""))</f>
        <v>Parmessano Santafe Bogota</v>
      </c>
    </row>
    <row r="583" spans="1:4" ht="20.100000000000001" hidden="1" customHeight="1" x14ac:dyDescent="0.45">
      <c r="A583" s="3">
        <v>1245634</v>
      </c>
      <c r="B583" s="2" t="s">
        <v>41</v>
      </c>
      <c r="C583" s="2" t="s">
        <v>472</v>
      </c>
      <c r="D583" s="10" t="str">
        <f>IFERROR(_xlfn.XLOOKUP($A583&amp;"",Hoja1!$C$2:$C$253,Hoja1!$D$2:$D$253),IFERROR(_xlfn.XLOOKUP($A583,'Sucursales Empleado'!$A$2:$A$236,'Sucursales Empleado'!$B$2:$B$236),""))</f>
        <v>Parmessano Santafe Bogota</v>
      </c>
    </row>
    <row r="584" spans="1:4" ht="20.100000000000001" hidden="1" customHeight="1" x14ac:dyDescent="0.45">
      <c r="A584" s="3">
        <v>1245634</v>
      </c>
      <c r="B584" s="2" t="s">
        <v>1251</v>
      </c>
      <c r="C584" s="2" t="s">
        <v>472</v>
      </c>
      <c r="D584" s="10" t="str">
        <f>IFERROR(_xlfn.XLOOKUP($A584&amp;"",Hoja1!$C$2:$C$253,Hoja1!$D$2:$D$253),IFERROR(_xlfn.XLOOKUP($A584,'Sucursales Empleado'!$A$2:$A$236,'Sucursales Empleado'!$B$2:$B$236),""))</f>
        <v>Parmessano Santafe Bogota</v>
      </c>
    </row>
    <row r="585" spans="1:4" ht="20.100000000000001" hidden="1" customHeight="1" x14ac:dyDescent="0.45">
      <c r="A585" s="3">
        <v>1245634</v>
      </c>
      <c r="B585" s="2" t="s">
        <v>39</v>
      </c>
      <c r="C585" s="2" t="s">
        <v>472</v>
      </c>
      <c r="D585" s="10" t="str">
        <f>IFERROR(_xlfn.XLOOKUP($A585&amp;"",Hoja1!$C$2:$C$253,Hoja1!$D$2:$D$253),IFERROR(_xlfn.XLOOKUP($A585,'Sucursales Empleado'!$A$2:$A$236,'Sucursales Empleado'!$B$2:$B$236),""))</f>
        <v>Parmessano Santafe Bogota</v>
      </c>
    </row>
    <row r="586" spans="1:4" ht="20.100000000000001" hidden="1" customHeight="1" x14ac:dyDescent="0.45">
      <c r="A586" s="3">
        <v>1245634</v>
      </c>
      <c r="B586" s="2" t="s">
        <v>37</v>
      </c>
      <c r="C586" s="2" t="s">
        <v>473</v>
      </c>
      <c r="D586" s="10" t="str">
        <f>IFERROR(_xlfn.XLOOKUP($A586&amp;"",Hoja1!$C$2:$C$253,Hoja1!$D$2:$D$253),IFERROR(_xlfn.XLOOKUP($A586,'Sucursales Empleado'!$A$2:$A$236,'Sucursales Empleado'!$B$2:$B$236),""))</f>
        <v>Parmessano Santafe Bogota</v>
      </c>
    </row>
    <row r="587" spans="1:4" ht="20.100000000000001" hidden="1" customHeight="1" x14ac:dyDescent="0.45">
      <c r="A587" s="3">
        <v>6174737</v>
      </c>
      <c r="B587" s="2" t="s">
        <v>42</v>
      </c>
      <c r="C587" s="2" t="s">
        <v>473</v>
      </c>
      <c r="D587" s="10" t="str">
        <f>IFERROR(_xlfn.XLOOKUP($A587&amp;"",Hoja1!$C$2:$C$253,Hoja1!$D$2:$D$253),IFERROR(_xlfn.XLOOKUP($A587,'Sucursales Empleado'!$A$2:$A$236,'Sucursales Empleado'!$B$2:$B$236),""))</f>
        <v>Parmessano Santafe Bogota</v>
      </c>
    </row>
    <row r="588" spans="1:4" ht="20.100000000000001" hidden="1" customHeight="1" x14ac:dyDescent="0.45">
      <c r="A588" s="3">
        <v>6174737</v>
      </c>
      <c r="B588" s="2" t="s">
        <v>40</v>
      </c>
      <c r="C588" s="2" t="s">
        <v>472</v>
      </c>
      <c r="D588" s="10" t="str">
        <f>IFERROR(_xlfn.XLOOKUP($A588&amp;"",Hoja1!$C$2:$C$253,Hoja1!$D$2:$D$253),IFERROR(_xlfn.XLOOKUP($A588,'Sucursales Empleado'!$A$2:$A$236,'Sucursales Empleado'!$B$2:$B$236),""))</f>
        <v>Parmessano Santafe Bogota</v>
      </c>
    </row>
    <row r="589" spans="1:4" ht="20.100000000000001" hidden="1" customHeight="1" x14ac:dyDescent="0.45">
      <c r="A589" s="3">
        <v>6174737</v>
      </c>
      <c r="B589" s="2" t="s">
        <v>41</v>
      </c>
      <c r="C589" s="2" t="s">
        <v>473</v>
      </c>
      <c r="D589" s="10" t="str">
        <f>IFERROR(_xlfn.XLOOKUP($A589&amp;"",Hoja1!$C$2:$C$253,Hoja1!$D$2:$D$253),IFERROR(_xlfn.XLOOKUP($A589,'Sucursales Empleado'!$A$2:$A$236,'Sucursales Empleado'!$B$2:$B$236),""))</f>
        <v>Parmessano Santafe Bogota</v>
      </c>
    </row>
    <row r="590" spans="1:4" ht="20.100000000000001" hidden="1" customHeight="1" x14ac:dyDescent="0.45">
      <c r="A590" s="3">
        <v>6174737</v>
      </c>
      <c r="B590" s="2" t="s">
        <v>1251</v>
      </c>
      <c r="C590" s="2" t="s">
        <v>471</v>
      </c>
      <c r="D590" s="10" t="str">
        <f>IFERROR(_xlfn.XLOOKUP($A590&amp;"",Hoja1!$C$2:$C$253,Hoja1!$D$2:$D$253),IFERROR(_xlfn.XLOOKUP($A590,'Sucursales Empleado'!$A$2:$A$236,'Sucursales Empleado'!$B$2:$B$236),""))</f>
        <v>Parmessano Santafe Bogota</v>
      </c>
    </row>
    <row r="591" spans="1:4" ht="20.100000000000001" hidden="1" customHeight="1" x14ac:dyDescent="0.45">
      <c r="A591" s="3">
        <v>6174737</v>
      </c>
      <c r="B591" s="2" t="s">
        <v>39</v>
      </c>
      <c r="C591" s="2" t="s">
        <v>472</v>
      </c>
      <c r="D591" s="10" t="str">
        <f>IFERROR(_xlfn.XLOOKUP($A591&amp;"",Hoja1!$C$2:$C$253,Hoja1!$D$2:$D$253),IFERROR(_xlfn.XLOOKUP($A591,'Sucursales Empleado'!$A$2:$A$236,'Sucursales Empleado'!$B$2:$B$236),""))</f>
        <v>Parmessano Santafe Bogota</v>
      </c>
    </row>
    <row r="592" spans="1:4" ht="20.100000000000001" hidden="1" customHeight="1" x14ac:dyDescent="0.45">
      <c r="A592" s="3">
        <v>6174737</v>
      </c>
      <c r="B592" s="2" t="s">
        <v>37</v>
      </c>
      <c r="C592" s="2" t="s">
        <v>472</v>
      </c>
      <c r="D592" s="10" t="str">
        <f>IFERROR(_xlfn.XLOOKUP($A592&amp;"",Hoja1!$C$2:$C$253,Hoja1!$D$2:$D$253),IFERROR(_xlfn.XLOOKUP($A592,'Sucursales Empleado'!$A$2:$A$236,'Sucursales Empleado'!$B$2:$B$236),""))</f>
        <v>Parmessano Santafe Bogota</v>
      </c>
    </row>
    <row r="593" spans="1:4" ht="20.100000000000001" hidden="1" customHeight="1" x14ac:dyDescent="0.45">
      <c r="A593" s="3">
        <v>52151656</v>
      </c>
      <c r="B593" s="2" t="s">
        <v>42</v>
      </c>
      <c r="C593" s="2" t="s">
        <v>473</v>
      </c>
      <c r="D593" s="10" t="str">
        <f>IFERROR(_xlfn.XLOOKUP($A593&amp;"",Hoja1!$C$2:$C$253,Hoja1!$D$2:$D$253),IFERROR(_xlfn.XLOOKUP($A593,'Sucursales Empleado'!$A$2:$A$236,'Sucursales Empleado'!$B$2:$B$236),""))</f>
        <v>Parmessano Santafe Bogota</v>
      </c>
    </row>
    <row r="594" spans="1:4" ht="20.100000000000001" hidden="1" customHeight="1" x14ac:dyDescent="0.45">
      <c r="A594" s="3">
        <v>52151656</v>
      </c>
      <c r="B594" s="2" t="s">
        <v>40</v>
      </c>
      <c r="C594" s="2" t="s">
        <v>473</v>
      </c>
      <c r="D594" s="10" t="str">
        <f>IFERROR(_xlfn.XLOOKUP($A594&amp;"",Hoja1!$C$2:$C$253,Hoja1!$D$2:$D$253),IFERROR(_xlfn.XLOOKUP($A594,'Sucursales Empleado'!$A$2:$A$236,'Sucursales Empleado'!$B$2:$B$236),""))</f>
        <v>Parmessano Santafe Bogota</v>
      </c>
    </row>
    <row r="595" spans="1:4" ht="20.100000000000001" hidden="1" customHeight="1" x14ac:dyDescent="0.45">
      <c r="A595" s="3">
        <v>52151656</v>
      </c>
      <c r="B595" s="2" t="s">
        <v>41</v>
      </c>
      <c r="C595" s="2" t="s">
        <v>473</v>
      </c>
      <c r="D595" s="10" t="str">
        <f>IFERROR(_xlfn.XLOOKUP($A595&amp;"",Hoja1!$C$2:$C$253,Hoja1!$D$2:$D$253),IFERROR(_xlfn.XLOOKUP($A595,'Sucursales Empleado'!$A$2:$A$236,'Sucursales Empleado'!$B$2:$B$236),""))</f>
        <v>Parmessano Santafe Bogota</v>
      </c>
    </row>
    <row r="596" spans="1:4" ht="20.100000000000001" hidden="1" customHeight="1" x14ac:dyDescent="0.45">
      <c r="A596" s="3">
        <v>52151656</v>
      </c>
      <c r="B596" s="2" t="s">
        <v>1251</v>
      </c>
      <c r="C596" s="2" t="s">
        <v>471</v>
      </c>
      <c r="D596" s="10" t="str">
        <f>IFERROR(_xlfn.XLOOKUP($A596&amp;"",Hoja1!$C$2:$C$253,Hoja1!$D$2:$D$253),IFERROR(_xlfn.XLOOKUP($A596,'Sucursales Empleado'!$A$2:$A$236,'Sucursales Empleado'!$B$2:$B$236),""))</f>
        <v>Parmessano Santafe Bogota</v>
      </c>
    </row>
    <row r="597" spans="1:4" ht="20.100000000000001" hidden="1" customHeight="1" x14ac:dyDescent="0.45">
      <c r="A597" s="3">
        <v>52151656</v>
      </c>
      <c r="B597" s="2" t="s">
        <v>39</v>
      </c>
      <c r="C597" s="2" t="s">
        <v>473</v>
      </c>
      <c r="D597" s="10" t="str">
        <f>IFERROR(_xlfn.XLOOKUP($A597&amp;"",Hoja1!$C$2:$C$253,Hoja1!$D$2:$D$253),IFERROR(_xlfn.XLOOKUP($A597,'Sucursales Empleado'!$A$2:$A$236,'Sucursales Empleado'!$B$2:$B$236),""))</f>
        <v>Parmessano Santafe Bogota</v>
      </c>
    </row>
    <row r="598" spans="1:4" ht="20.100000000000001" hidden="1" customHeight="1" x14ac:dyDescent="0.45">
      <c r="A598" s="3">
        <v>52151656</v>
      </c>
      <c r="B598" s="2" t="s">
        <v>37</v>
      </c>
      <c r="C598" s="2" t="s">
        <v>471</v>
      </c>
      <c r="D598" s="10" t="str">
        <f>IFERROR(_xlfn.XLOOKUP($A598&amp;"",Hoja1!$C$2:$C$253,Hoja1!$D$2:$D$253),IFERROR(_xlfn.XLOOKUP($A598,'Sucursales Empleado'!$A$2:$A$236,'Sucursales Empleado'!$B$2:$B$236),""))</f>
        <v>Parmessano Santafe Bogota</v>
      </c>
    </row>
    <row r="599" spans="1:4" ht="20.100000000000001" hidden="1" customHeight="1" x14ac:dyDescent="0.45">
      <c r="A599" s="3">
        <v>52357758</v>
      </c>
      <c r="B599" s="2" t="s">
        <v>42</v>
      </c>
      <c r="C599" s="2" t="s">
        <v>472</v>
      </c>
      <c r="D599" s="10" t="str">
        <f>IFERROR(_xlfn.XLOOKUP($A599&amp;"",Hoja1!$C$2:$C$253,Hoja1!$D$2:$D$253),IFERROR(_xlfn.XLOOKUP($A599,'Sucursales Empleado'!$A$2:$A$236,'Sucursales Empleado'!$B$2:$B$236),""))</f>
        <v>Parmessano Santafe Bogota</v>
      </c>
    </row>
    <row r="600" spans="1:4" ht="20.100000000000001" hidden="1" customHeight="1" x14ac:dyDescent="0.45">
      <c r="A600" s="3">
        <v>52357758</v>
      </c>
      <c r="B600" s="2" t="s">
        <v>40</v>
      </c>
      <c r="C600" s="2" t="s">
        <v>473</v>
      </c>
      <c r="D600" s="10" t="str">
        <f>IFERROR(_xlfn.XLOOKUP($A600&amp;"",Hoja1!$C$2:$C$253,Hoja1!$D$2:$D$253),IFERROR(_xlfn.XLOOKUP($A600,'Sucursales Empleado'!$A$2:$A$236,'Sucursales Empleado'!$B$2:$B$236),""))</f>
        <v>Parmessano Santafe Bogota</v>
      </c>
    </row>
    <row r="601" spans="1:4" ht="20.100000000000001" hidden="1" customHeight="1" x14ac:dyDescent="0.45">
      <c r="A601" s="3">
        <v>52357758</v>
      </c>
      <c r="B601" s="2" t="s">
        <v>41</v>
      </c>
      <c r="C601" s="2" t="s">
        <v>472</v>
      </c>
      <c r="D601" s="10" t="str">
        <f>IFERROR(_xlfn.XLOOKUP($A601&amp;"",Hoja1!$C$2:$C$253,Hoja1!$D$2:$D$253),IFERROR(_xlfn.XLOOKUP($A601,'Sucursales Empleado'!$A$2:$A$236,'Sucursales Empleado'!$B$2:$B$236),""))</f>
        <v>Parmessano Santafe Bogota</v>
      </c>
    </row>
    <row r="602" spans="1:4" ht="20.100000000000001" hidden="1" customHeight="1" x14ac:dyDescent="0.45">
      <c r="A602" s="3">
        <v>52357758</v>
      </c>
      <c r="B602" s="2" t="s">
        <v>1251</v>
      </c>
      <c r="C602" s="2" t="s">
        <v>471</v>
      </c>
      <c r="D602" s="10" t="str">
        <f>IFERROR(_xlfn.XLOOKUP($A602&amp;"",Hoja1!$C$2:$C$253,Hoja1!$D$2:$D$253),IFERROR(_xlfn.XLOOKUP($A602,'Sucursales Empleado'!$A$2:$A$236,'Sucursales Empleado'!$B$2:$B$236),""))</f>
        <v>Parmessano Santafe Bogota</v>
      </c>
    </row>
    <row r="603" spans="1:4" ht="20.100000000000001" hidden="1" customHeight="1" x14ac:dyDescent="0.45">
      <c r="A603" s="3">
        <v>52357758</v>
      </c>
      <c r="B603" s="2" t="s">
        <v>39</v>
      </c>
      <c r="C603" s="2" t="s">
        <v>473</v>
      </c>
      <c r="D603" s="10" t="str">
        <f>IFERROR(_xlfn.XLOOKUP($A603&amp;"",Hoja1!$C$2:$C$253,Hoja1!$D$2:$D$253),IFERROR(_xlfn.XLOOKUP($A603,'Sucursales Empleado'!$A$2:$A$236,'Sucursales Empleado'!$B$2:$B$236),""))</f>
        <v>Parmessano Santafe Bogota</v>
      </c>
    </row>
    <row r="604" spans="1:4" ht="20.100000000000001" hidden="1" customHeight="1" x14ac:dyDescent="0.45">
      <c r="A604" s="3">
        <v>52357758</v>
      </c>
      <c r="B604" s="2" t="s">
        <v>37</v>
      </c>
      <c r="C604" s="2" t="s">
        <v>473</v>
      </c>
      <c r="D604" s="10" t="str">
        <f>IFERROR(_xlfn.XLOOKUP($A604&amp;"",Hoja1!$C$2:$C$253,Hoja1!$D$2:$D$253),IFERROR(_xlfn.XLOOKUP($A604,'Sucursales Empleado'!$A$2:$A$236,'Sucursales Empleado'!$B$2:$B$236),""))</f>
        <v>Parmessano Santafe Bogota</v>
      </c>
    </row>
    <row r="605" spans="1:4" ht="20.100000000000001" hidden="1" customHeight="1" x14ac:dyDescent="0.45">
      <c r="A605" s="3">
        <v>52391289</v>
      </c>
      <c r="B605" s="2" t="s">
        <v>42</v>
      </c>
      <c r="C605" s="2" t="s">
        <v>472</v>
      </c>
      <c r="D605" s="10" t="str">
        <f>IFERROR(_xlfn.XLOOKUP($A605&amp;"",Hoja1!$C$2:$C$253,Hoja1!$D$2:$D$253),IFERROR(_xlfn.XLOOKUP($A605,'Sucursales Empleado'!$A$2:$A$236,'Sucursales Empleado'!$B$2:$B$236),""))</f>
        <v>Parmessano Santafe Bogota</v>
      </c>
    </row>
    <row r="606" spans="1:4" ht="20.100000000000001" hidden="1" customHeight="1" x14ac:dyDescent="0.45">
      <c r="A606" s="3">
        <v>52391289</v>
      </c>
      <c r="B606" s="2" t="s">
        <v>40</v>
      </c>
      <c r="C606" s="2" t="s">
        <v>473</v>
      </c>
      <c r="D606" s="10" t="str">
        <f>IFERROR(_xlfn.XLOOKUP($A606&amp;"",Hoja1!$C$2:$C$253,Hoja1!$D$2:$D$253),IFERROR(_xlfn.XLOOKUP($A606,'Sucursales Empleado'!$A$2:$A$236,'Sucursales Empleado'!$B$2:$B$236),""))</f>
        <v>Parmessano Santafe Bogota</v>
      </c>
    </row>
    <row r="607" spans="1:4" ht="20.100000000000001" hidden="1" customHeight="1" x14ac:dyDescent="0.45">
      <c r="A607" s="3">
        <v>52391289</v>
      </c>
      <c r="B607" s="2" t="s">
        <v>41</v>
      </c>
      <c r="C607" s="2" t="s">
        <v>471</v>
      </c>
      <c r="D607" s="10" t="str">
        <f>IFERROR(_xlfn.XLOOKUP($A607&amp;"",Hoja1!$C$2:$C$253,Hoja1!$D$2:$D$253),IFERROR(_xlfn.XLOOKUP($A607,'Sucursales Empleado'!$A$2:$A$236,'Sucursales Empleado'!$B$2:$B$236),""))</f>
        <v>Parmessano Santafe Bogota</v>
      </c>
    </row>
    <row r="608" spans="1:4" ht="20.100000000000001" hidden="1" customHeight="1" x14ac:dyDescent="0.45">
      <c r="A608" s="3">
        <v>52391289</v>
      </c>
      <c r="B608" s="2" t="s">
        <v>1251</v>
      </c>
      <c r="C608" s="2" t="s">
        <v>471</v>
      </c>
      <c r="D608" s="10" t="str">
        <f>IFERROR(_xlfn.XLOOKUP($A608&amp;"",Hoja1!$C$2:$C$253,Hoja1!$D$2:$D$253),IFERROR(_xlfn.XLOOKUP($A608,'Sucursales Empleado'!$A$2:$A$236,'Sucursales Empleado'!$B$2:$B$236),""))</f>
        <v>Parmessano Santafe Bogota</v>
      </c>
    </row>
    <row r="609" spans="1:4" ht="20.100000000000001" hidden="1" customHeight="1" x14ac:dyDescent="0.45">
      <c r="A609" s="3">
        <v>52391289</v>
      </c>
      <c r="B609" s="2" t="s">
        <v>39</v>
      </c>
      <c r="C609" s="2" t="s">
        <v>471</v>
      </c>
      <c r="D609" s="10" t="str">
        <f>IFERROR(_xlfn.XLOOKUP($A609&amp;"",Hoja1!$C$2:$C$253,Hoja1!$D$2:$D$253),IFERROR(_xlfn.XLOOKUP($A609,'Sucursales Empleado'!$A$2:$A$236,'Sucursales Empleado'!$B$2:$B$236),""))</f>
        <v>Parmessano Santafe Bogota</v>
      </c>
    </row>
    <row r="610" spans="1:4" ht="20.100000000000001" hidden="1" customHeight="1" x14ac:dyDescent="0.45">
      <c r="A610" s="3">
        <v>52391289</v>
      </c>
      <c r="B610" s="2" t="s">
        <v>37</v>
      </c>
      <c r="C610" s="2" t="s">
        <v>473</v>
      </c>
      <c r="D610" s="10" t="str">
        <f>IFERROR(_xlfn.XLOOKUP($A610&amp;"",Hoja1!$C$2:$C$253,Hoja1!$D$2:$D$253),IFERROR(_xlfn.XLOOKUP($A610,'Sucursales Empleado'!$A$2:$A$236,'Sucursales Empleado'!$B$2:$B$236),""))</f>
        <v>Parmessano Santafe Bogota</v>
      </c>
    </row>
    <row r="611" spans="1:4" ht="20.100000000000001" hidden="1" customHeight="1" x14ac:dyDescent="0.45">
      <c r="A611" s="3">
        <v>52873856</v>
      </c>
      <c r="B611" s="2" t="s">
        <v>42</v>
      </c>
      <c r="C611" s="2" t="s">
        <v>472</v>
      </c>
      <c r="D611" s="10" t="str">
        <f>IFERROR(_xlfn.XLOOKUP($A611&amp;"",Hoja1!$C$2:$C$253,Hoja1!$D$2:$D$253),IFERROR(_xlfn.XLOOKUP($A611,'Sucursales Empleado'!$A$2:$A$236,'Sucursales Empleado'!$B$2:$B$236),""))</f>
        <v>Parmessano Santafe Bogota</v>
      </c>
    </row>
    <row r="612" spans="1:4" ht="20.100000000000001" hidden="1" customHeight="1" x14ac:dyDescent="0.45">
      <c r="A612" s="3">
        <v>52873856</v>
      </c>
      <c r="B612" s="2" t="s">
        <v>40</v>
      </c>
      <c r="C612" s="2" t="s">
        <v>472</v>
      </c>
      <c r="D612" s="10" t="str">
        <f>IFERROR(_xlfn.XLOOKUP($A612&amp;"",Hoja1!$C$2:$C$253,Hoja1!$D$2:$D$253),IFERROR(_xlfn.XLOOKUP($A612,'Sucursales Empleado'!$A$2:$A$236,'Sucursales Empleado'!$B$2:$B$236),""))</f>
        <v>Parmessano Santafe Bogota</v>
      </c>
    </row>
    <row r="613" spans="1:4" ht="20.100000000000001" hidden="1" customHeight="1" x14ac:dyDescent="0.45">
      <c r="A613" s="3">
        <v>52873856</v>
      </c>
      <c r="B613" s="2" t="s">
        <v>41</v>
      </c>
      <c r="C613" s="2" t="s">
        <v>472</v>
      </c>
      <c r="D613" s="10" t="str">
        <f>IFERROR(_xlfn.XLOOKUP($A613&amp;"",Hoja1!$C$2:$C$253,Hoja1!$D$2:$D$253),IFERROR(_xlfn.XLOOKUP($A613,'Sucursales Empleado'!$A$2:$A$236,'Sucursales Empleado'!$B$2:$B$236),""))</f>
        <v>Parmessano Santafe Bogota</v>
      </c>
    </row>
    <row r="614" spans="1:4" ht="20.100000000000001" hidden="1" customHeight="1" x14ac:dyDescent="0.45">
      <c r="A614" s="3">
        <v>52873856</v>
      </c>
      <c r="B614" s="2" t="s">
        <v>1251</v>
      </c>
      <c r="C614" s="2" t="s">
        <v>472</v>
      </c>
      <c r="D614" s="10" t="str">
        <f>IFERROR(_xlfn.XLOOKUP($A614&amp;"",Hoja1!$C$2:$C$253,Hoja1!$D$2:$D$253),IFERROR(_xlfn.XLOOKUP($A614,'Sucursales Empleado'!$A$2:$A$236,'Sucursales Empleado'!$B$2:$B$236),""))</f>
        <v>Parmessano Santafe Bogota</v>
      </c>
    </row>
    <row r="615" spans="1:4" ht="20.100000000000001" hidden="1" customHeight="1" x14ac:dyDescent="0.45">
      <c r="A615" s="3">
        <v>52873856</v>
      </c>
      <c r="B615" s="2" t="s">
        <v>39</v>
      </c>
      <c r="C615" s="2" t="s">
        <v>472</v>
      </c>
      <c r="D615" s="10" t="str">
        <f>IFERROR(_xlfn.XLOOKUP($A615&amp;"",Hoja1!$C$2:$C$253,Hoja1!$D$2:$D$253),IFERROR(_xlfn.XLOOKUP($A615,'Sucursales Empleado'!$A$2:$A$236,'Sucursales Empleado'!$B$2:$B$236),""))</f>
        <v>Parmessano Santafe Bogota</v>
      </c>
    </row>
    <row r="616" spans="1:4" ht="20.100000000000001" hidden="1" customHeight="1" x14ac:dyDescent="0.45">
      <c r="A616" s="3">
        <v>52873856</v>
      </c>
      <c r="B616" s="2" t="s">
        <v>37</v>
      </c>
      <c r="C616" s="2" t="s">
        <v>472</v>
      </c>
      <c r="D616" s="10" t="str">
        <f>IFERROR(_xlfn.XLOOKUP($A616&amp;"",Hoja1!$C$2:$C$253,Hoja1!$D$2:$D$253),IFERROR(_xlfn.XLOOKUP($A616,'Sucursales Empleado'!$A$2:$A$236,'Sucursales Empleado'!$B$2:$B$236),""))</f>
        <v>Parmessano Santafe Bogota</v>
      </c>
    </row>
    <row r="617" spans="1:4" ht="20.100000000000001" hidden="1" customHeight="1" x14ac:dyDescent="0.45">
      <c r="A617" s="3">
        <v>1000286730</v>
      </c>
      <c r="B617" s="2" t="s">
        <v>42</v>
      </c>
      <c r="C617" s="2" t="s">
        <v>472</v>
      </c>
      <c r="D617" s="10" t="str">
        <f>IFERROR(_xlfn.XLOOKUP($A617&amp;"",Hoja1!$C$2:$C$253,Hoja1!$D$2:$D$253),IFERROR(_xlfn.XLOOKUP($A617,'Sucursales Empleado'!$A$2:$A$236,'Sucursales Empleado'!$B$2:$B$236),""))</f>
        <v>Parmessano Santafe Bogota</v>
      </c>
    </row>
    <row r="618" spans="1:4" ht="20.100000000000001" hidden="1" customHeight="1" x14ac:dyDescent="0.45">
      <c r="A618" s="3">
        <v>1000286730</v>
      </c>
      <c r="B618" s="2" t="s">
        <v>40</v>
      </c>
      <c r="C618" s="2" t="s">
        <v>472</v>
      </c>
      <c r="D618" s="10" t="str">
        <f>IFERROR(_xlfn.XLOOKUP($A618&amp;"",Hoja1!$C$2:$C$253,Hoja1!$D$2:$D$253),IFERROR(_xlfn.XLOOKUP($A618,'Sucursales Empleado'!$A$2:$A$236,'Sucursales Empleado'!$B$2:$B$236),""))</f>
        <v>Parmessano Santafe Bogota</v>
      </c>
    </row>
    <row r="619" spans="1:4" ht="20.100000000000001" hidden="1" customHeight="1" x14ac:dyDescent="0.45">
      <c r="A619" s="3">
        <v>1000286730</v>
      </c>
      <c r="B619" s="2" t="s">
        <v>41</v>
      </c>
      <c r="C619" s="2" t="s">
        <v>472</v>
      </c>
      <c r="D619" s="10" t="str">
        <f>IFERROR(_xlfn.XLOOKUP($A619&amp;"",Hoja1!$C$2:$C$253,Hoja1!$D$2:$D$253),IFERROR(_xlfn.XLOOKUP($A619,'Sucursales Empleado'!$A$2:$A$236,'Sucursales Empleado'!$B$2:$B$236),""))</f>
        <v>Parmessano Santafe Bogota</v>
      </c>
    </row>
    <row r="620" spans="1:4" ht="20.100000000000001" hidden="1" customHeight="1" x14ac:dyDescent="0.45">
      <c r="A620" s="3">
        <v>1000286730</v>
      </c>
      <c r="B620" s="2" t="s">
        <v>1251</v>
      </c>
      <c r="C620" s="2" t="s">
        <v>472</v>
      </c>
      <c r="D620" s="10" t="str">
        <f>IFERROR(_xlfn.XLOOKUP($A620&amp;"",Hoja1!$C$2:$C$253,Hoja1!$D$2:$D$253),IFERROR(_xlfn.XLOOKUP($A620,'Sucursales Empleado'!$A$2:$A$236,'Sucursales Empleado'!$B$2:$B$236),""))</f>
        <v>Parmessano Santafe Bogota</v>
      </c>
    </row>
    <row r="621" spans="1:4" ht="20.100000000000001" hidden="1" customHeight="1" x14ac:dyDescent="0.45">
      <c r="A621" s="3">
        <v>1000286730</v>
      </c>
      <c r="B621" s="2" t="s">
        <v>39</v>
      </c>
      <c r="C621" s="2" t="s">
        <v>472</v>
      </c>
      <c r="D621" s="10" t="str">
        <f>IFERROR(_xlfn.XLOOKUP($A621&amp;"",Hoja1!$C$2:$C$253,Hoja1!$D$2:$D$253),IFERROR(_xlfn.XLOOKUP($A621,'Sucursales Empleado'!$A$2:$A$236,'Sucursales Empleado'!$B$2:$B$236),""))</f>
        <v>Parmessano Santafe Bogota</v>
      </c>
    </row>
    <row r="622" spans="1:4" ht="20.100000000000001" hidden="1" customHeight="1" x14ac:dyDescent="0.45">
      <c r="A622" s="3">
        <v>1000286730</v>
      </c>
      <c r="B622" s="2" t="s">
        <v>37</v>
      </c>
      <c r="C622" s="2" t="s">
        <v>472</v>
      </c>
      <c r="D622" s="10" t="str">
        <f>IFERROR(_xlfn.XLOOKUP($A622&amp;"",Hoja1!$C$2:$C$253,Hoja1!$D$2:$D$253),IFERROR(_xlfn.XLOOKUP($A622,'Sucursales Empleado'!$A$2:$A$236,'Sucursales Empleado'!$B$2:$B$236),""))</f>
        <v>Parmessano Santafe Bogota</v>
      </c>
    </row>
    <row r="623" spans="1:4" ht="20.100000000000001" hidden="1" customHeight="1" x14ac:dyDescent="0.45">
      <c r="A623" s="3">
        <v>1001215716</v>
      </c>
      <c r="B623" s="2" t="s">
        <v>42</v>
      </c>
      <c r="C623" s="2" t="s">
        <v>473</v>
      </c>
      <c r="D623" s="10" t="str">
        <f>IFERROR(_xlfn.XLOOKUP($A623&amp;"",Hoja1!$C$2:$C$253,Hoja1!$D$2:$D$253),IFERROR(_xlfn.XLOOKUP($A623,'Sucursales Empleado'!$A$2:$A$236,'Sucursales Empleado'!$B$2:$B$236),""))</f>
        <v>Parmessano Santafe Bogota</v>
      </c>
    </row>
    <row r="624" spans="1:4" ht="20.100000000000001" hidden="1" customHeight="1" x14ac:dyDescent="0.45">
      <c r="A624" s="3">
        <v>1001215716</v>
      </c>
      <c r="B624" s="2" t="s">
        <v>40</v>
      </c>
      <c r="C624" s="2" t="s">
        <v>473</v>
      </c>
      <c r="D624" s="10" t="str">
        <f>IFERROR(_xlfn.XLOOKUP($A624&amp;"",Hoja1!$C$2:$C$253,Hoja1!$D$2:$D$253),IFERROR(_xlfn.XLOOKUP($A624,'Sucursales Empleado'!$A$2:$A$236,'Sucursales Empleado'!$B$2:$B$236),""))</f>
        <v>Parmessano Santafe Bogota</v>
      </c>
    </row>
    <row r="625" spans="1:4" ht="20.100000000000001" hidden="1" customHeight="1" x14ac:dyDescent="0.45">
      <c r="A625" s="3">
        <v>1001215716</v>
      </c>
      <c r="B625" s="2" t="s">
        <v>41</v>
      </c>
      <c r="C625" s="2" t="s">
        <v>471</v>
      </c>
      <c r="D625" s="10" t="str">
        <f>IFERROR(_xlfn.XLOOKUP($A625&amp;"",Hoja1!$C$2:$C$253,Hoja1!$D$2:$D$253),IFERROR(_xlfn.XLOOKUP($A625,'Sucursales Empleado'!$A$2:$A$236,'Sucursales Empleado'!$B$2:$B$236),""))</f>
        <v>Parmessano Santafe Bogota</v>
      </c>
    </row>
    <row r="626" spans="1:4" ht="20.100000000000001" hidden="1" customHeight="1" x14ac:dyDescent="0.45">
      <c r="A626" s="3">
        <v>1001215716</v>
      </c>
      <c r="B626" s="2" t="s">
        <v>1251</v>
      </c>
      <c r="C626" s="2" t="s">
        <v>471</v>
      </c>
      <c r="D626" s="10" t="str">
        <f>IFERROR(_xlfn.XLOOKUP($A626&amp;"",Hoja1!$C$2:$C$253,Hoja1!$D$2:$D$253),IFERROR(_xlfn.XLOOKUP($A626,'Sucursales Empleado'!$A$2:$A$236,'Sucursales Empleado'!$B$2:$B$236),""))</f>
        <v>Parmessano Santafe Bogota</v>
      </c>
    </row>
    <row r="627" spans="1:4" ht="20.100000000000001" hidden="1" customHeight="1" x14ac:dyDescent="0.45">
      <c r="A627" s="3">
        <v>1001215716</v>
      </c>
      <c r="B627" s="2" t="s">
        <v>39</v>
      </c>
      <c r="C627" s="2" t="s">
        <v>471</v>
      </c>
      <c r="D627" s="10" t="str">
        <f>IFERROR(_xlfn.XLOOKUP($A627&amp;"",Hoja1!$C$2:$C$253,Hoja1!$D$2:$D$253),IFERROR(_xlfn.XLOOKUP($A627,'Sucursales Empleado'!$A$2:$A$236,'Sucursales Empleado'!$B$2:$B$236),""))</f>
        <v>Parmessano Santafe Bogota</v>
      </c>
    </row>
    <row r="628" spans="1:4" ht="20.100000000000001" hidden="1" customHeight="1" x14ac:dyDescent="0.45">
      <c r="A628" s="3">
        <v>1001215716</v>
      </c>
      <c r="B628" s="2" t="s">
        <v>37</v>
      </c>
      <c r="C628" s="2" t="s">
        <v>471</v>
      </c>
      <c r="D628" s="10" t="str">
        <f>IFERROR(_xlfn.XLOOKUP($A628&amp;"",Hoja1!$C$2:$C$253,Hoja1!$D$2:$D$253),IFERROR(_xlfn.XLOOKUP($A628,'Sucursales Empleado'!$A$2:$A$236,'Sucursales Empleado'!$B$2:$B$236),""))</f>
        <v>Parmessano Santafe Bogota</v>
      </c>
    </row>
    <row r="629" spans="1:4" ht="20.100000000000001" hidden="1" customHeight="1" x14ac:dyDescent="0.45">
      <c r="A629" s="3">
        <v>1022964089</v>
      </c>
      <c r="B629" s="2" t="s">
        <v>42</v>
      </c>
      <c r="C629" s="2" t="s">
        <v>472</v>
      </c>
      <c r="D629" s="10" t="str">
        <f>IFERROR(_xlfn.XLOOKUP($A629&amp;"",Hoja1!$C$2:$C$253,Hoja1!$D$2:$D$253),IFERROR(_xlfn.XLOOKUP($A629,'Sucursales Empleado'!$A$2:$A$236,'Sucursales Empleado'!$B$2:$B$236),""))</f>
        <v>Parmessano Santafe Bogota</v>
      </c>
    </row>
    <row r="630" spans="1:4" ht="20.100000000000001" hidden="1" customHeight="1" x14ac:dyDescent="0.45">
      <c r="A630" s="3">
        <v>1022964089</v>
      </c>
      <c r="B630" s="2" t="s">
        <v>40</v>
      </c>
      <c r="C630" s="2" t="s">
        <v>473</v>
      </c>
      <c r="D630" s="10" t="str">
        <f>IFERROR(_xlfn.XLOOKUP($A630&amp;"",Hoja1!$C$2:$C$253,Hoja1!$D$2:$D$253),IFERROR(_xlfn.XLOOKUP($A630,'Sucursales Empleado'!$A$2:$A$236,'Sucursales Empleado'!$B$2:$B$236),""))</f>
        <v>Parmessano Santafe Bogota</v>
      </c>
    </row>
    <row r="631" spans="1:4" ht="20.100000000000001" hidden="1" customHeight="1" x14ac:dyDescent="0.45">
      <c r="A631" s="3">
        <v>1022964089</v>
      </c>
      <c r="B631" s="2" t="s">
        <v>41</v>
      </c>
      <c r="C631" s="2" t="s">
        <v>472</v>
      </c>
      <c r="D631" s="10" t="str">
        <f>IFERROR(_xlfn.XLOOKUP($A631&amp;"",Hoja1!$C$2:$C$253,Hoja1!$D$2:$D$253),IFERROR(_xlfn.XLOOKUP($A631,'Sucursales Empleado'!$A$2:$A$236,'Sucursales Empleado'!$B$2:$B$236),""))</f>
        <v>Parmessano Santafe Bogota</v>
      </c>
    </row>
    <row r="632" spans="1:4" ht="20.100000000000001" hidden="1" customHeight="1" x14ac:dyDescent="0.45">
      <c r="A632" s="3">
        <v>1022964089</v>
      </c>
      <c r="B632" s="2" t="s">
        <v>1251</v>
      </c>
      <c r="C632" s="2" t="s">
        <v>471</v>
      </c>
      <c r="D632" s="10" t="str">
        <f>IFERROR(_xlfn.XLOOKUP($A632&amp;"",Hoja1!$C$2:$C$253,Hoja1!$D$2:$D$253),IFERROR(_xlfn.XLOOKUP($A632,'Sucursales Empleado'!$A$2:$A$236,'Sucursales Empleado'!$B$2:$B$236),""))</f>
        <v>Parmessano Santafe Bogota</v>
      </c>
    </row>
    <row r="633" spans="1:4" ht="20.100000000000001" hidden="1" customHeight="1" x14ac:dyDescent="0.45">
      <c r="A633" s="3">
        <v>1022964089</v>
      </c>
      <c r="B633" s="2" t="s">
        <v>39</v>
      </c>
      <c r="C633" s="2" t="s">
        <v>473</v>
      </c>
      <c r="D633" s="10" t="str">
        <f>IFERROR(_xlfn.XLOOKUP($A633&amp;"",Hoja1!$C$2:$C$253,Hoja1!$D$2:$D$253),IFERROR(_xlfn.XLOOKUP($A633,'Sucursales Empleado'!$A$2:$A$236,'Sucursales Empleado'!$B$2:$B$236),""))</f>
        <v>Parmessano Santafe Bogota</v>
      </c>
    </row>
    <row r="634" spans="1:4" ht="20.100000000000001" hidden="1" customHeight="1" x14ac:dyDescent="0.45">
      <c r="A634" s="3">
        <v>1022964089</v>
      </c>
      <c r="B634" s="2" t="s">
        <v>37</v>
      </c>
      <c r="C634" s="2" t="s">
        <v>473</v>
      </c>
      <c r="D634" s="10" t="str">
        <f>IFERROR(_xlfn.XLOOKUP($A634&amp;"",Hoja1!$C$2:$C$253,Hoja1!$D$2:$D$253),IFERROR(_xlfn.XLOOKUP($A634,'Sucursales Empleado'!$A$2:$A$236,'Sucursales Empleado'!$B$2:$B$236),""))</f>
        <v>Parmessano Santafe Bogota</v>
      </c>
    </row>
    <row r="635" spans="1:4" ht="20.100000000000001" hidden="1" customHeight="1" x14ac:dyDescent="0.45">
      <c r="A635" s="3">
        <v>1067910006</v>
      </c>
      <c r="B635" s="2" t="s">
        <v>42</v>
      </c>
      <c r="C635" s="2" t="s">
        <v>472</v>
      </c>
      <c r="D635" s="10" t="str">
        <f>IFERROR(_xlfn.XLOOKUP($A635&amp;"",Hoja1!$C$2:$C$253,Hoja1!$D$2:$D$253),IFERROR(_xlfn.XLOOKUP($A635,'Sucursales Empleado'!$A$2:$A$236,'Sucursales Empleado'!$B$2:$B$236),""))</f>
        <v>Parmessano Santafe Bogota</v>
      </c>
    </row>
    <row r="636" spans="1:4" ht="20.100000000000001" hidden="1" customHeight="1" x14ac:dyDescent="0.45">
      <c r="A636" s="3">
        <v>1067910006</v>
      </c>
      <c r="B636" s="2" t="s">
        <v>40</v>
      </c>
      <c r="C636" s="2" t="s">
        <v>472</v>
      </c>
      <c r="D636" s="10" t="str">
        <f>IFERROR(_xlfn.XLOOKUP($A636&amp;"",Hoja1!$C$2:$C$253,Hoja1!$D$2:$D$253),IFERROR(_xlfn.XLOOKUP($A636,'Sucursales Empleado'!$A$2:$A$236,'Sucursales Empleado'!$B$2:$B$236),""))</f>
        <v>Parmessano Santafe Bogota</v>
      </c>
    </row>
    <row r="637" spans="1:4" ht="20.100000000000001" hidden="1" customHeight="1" x14ac:dyDescent="0.45">
      <c r="A637" s="3">
        <v>1067910006</v>
      </c>
      <c r="B637" s="2" t="s">
        <v>41</v>
      </c>
      <c r="C637" s="2" t="s">
        <v>473</v>
      </c>
      <c r="D637" s="10" t="str">
        <f>IFERROR(_xlfn.XLOOKUP($A637&amp;"",Hoja1!$C$2:$C$253,Hoja1!$D$2:$D$253),IFERROR(_xlfn.XLOOKUP($A637,'Sucursales Empleado'!$A$2:$A$236,'Sucursales Empleado'!$B$2:$B$236),""))</f>
        <v>Parmessano Santafe Bogota</v>
      </c>
    </row>
    <row r="638" spans="1:4" ht="20.100000000000001" hidden="1" customHeight="1" x14ac:dyDescent="0.45">
      <c r="A638" s="3">
        <v>1067910006</v>
      </c>
      <c r="B638" s="2" t="s">
        <v>1251</v>
      </c>
      <c r="C638" s="2" t="s">
        <v>471</v>
      </c>
      <c r="D638" s="10" t="str">
        <f>IFERROR(_xlfn.XLOOKUP($A638&amp;"",Hoja1!$C$2:$C$253,Hoja1!$D$2:$D$253),IFERROR(_xlfn.XLOOKUP($A638,'Sucursales Empleado'!$A$2:$A$236,'Sucursales Empleado'!$B$2:$B$236),""))</f>
        <v>Parmessano Santafe Bogota</v>
      </c>
    </row>
    <row r="639" spans="1:4" ht="20.100000000000001" hidden="1" customHeight="1" x14ac:dyDescent="0.45">
      <c r="A639" s="3">
        <v>1067910006</v>
      </c>
      <c r="B639" s="2" t="s">
        <v>39</v>
      </c>
      <c r="C639" s="2" t="s">
        <v>473</v>
      </c>
      <c r="D639" s="10" t="str">
        <f>IFERROR(_xlfn.XLOOKUP($A639&amp;"",Hoja1!$C$2:$C$253,Hoja1!$D$2:$D$253),IFERROR(_xlfn.XLOOKUP($A639,'Sucursales Empleado'!$A$2:$A$236,'Sucursales Empleado'!$B$2:$B$236),""))</f>
        <v>Parmessano Santafe Bogota</v>
      </c>
    </row>
    <row r="640" spans="1:4" ht="20.100000000000001" hidden="1" customHeight="1" x14ac:dyDescent="0.45">
      <c r="A640" s="3">
        <v>1067910006</v>
      </c>
      <c r="B640" s="2" t="s">
        <v>37</v>
      </c>
      <c r="C640" s="2" t="s">
        <v>473</v>
      </c>
      <c r="D640" s="10" t="str">
        <f>IFERROR(_xlfn.XLOOKUP($A640&amp;"",Hoja1!$C$2:$C$253,Hoja1!$D$2:$D$253),IFERROR(_xlfn.XLOOKUP($A640,'Sucursales Empleado'!$A$2:$A$236,'Sucursales Empleado'!$B$2:$B$236),""))</f>
        <v>Parmessano Santafe Bogota</v>
      </c>
    </row>
    <row r="641" spans="1:4" ht="20.100000000000001" hidden="1" customHeight="1" x14ac:dyDescent="0.45">
      <c r="A641" s="3">
        <v>6454597</v>
      </c>
      <c r="B641" s="2" t="s">
        <v>55</v>
      </c>
      <c r="C641" s="2" t="s">
        <v>472</v>
      </c>
      <c r="D641" s="10" t="str">
        <f>IFERROR(_xlfn.XLOOKUP($A641&amp;"",Hoja1!$C$2:$C$253,Hoja1!$D$2:$D$253),IFERROR(_xlfn.XLOOKUP($A641,'Sucursales Empleado'!$A$2:$A$236,'Sucursales Empleado'!$B$2:$B$236),""))</f>
        <v>Parmessano Santafe Bogota</v>
      </c>
    </row>
    <row r="642" spans="1:4" ht="20.100000000000001" hidden="1" customHeight="1" x14ac:dyDescent="0.45">
      <c r="A642" s="3">
        <v>5756332</v>
      </c>
      <c r="B642" s="2" t="s">
        <v>50</v>
      </c>
      <c r="C642" s="2" t="s">
        <v>472</v>
      </c>
      <c r="D642" s="10" t="str">
        <f>IFERROR(_xlfn.XLOOKUP($A642&amp;"",Hoja1!$C$2:$C$253,Hoja1!$D$2:$D$253),IFERROR(_xlfn.XLOOKUP($A642,'Sucursales Empleado'!$A$2:$A$236,'Sucursales Empleado'!$B$2:$B$236),""))</f>
        <v>Parmessano Santafe Bogota</v>
      </c>
    </row>
    <row r="643" spans="1:4" ht="20.100000000000001" hidden="1" customHeight="1" x14ac:dyDescent="0.45">
      <c r="A643" s="3">
        <v>5756332</v>
      </c>
      <c r="B643" s="2" t="s">
        <v>1254</v>
      </c>
      <c r="C643" s="2" t="s">
        <v>472</v>
      </c>
      <c r="D643" s="10" t="str">
        <f>IFERROR(_xlfn.XLOOKUP($A643&amp;"",Hoja1!$C$2:$C$253,Hoja1!$D$2:$D$253),IFERROR(_xlfn.XLOOKUP($A643,'Sucursales Empleado'!$A$2:$A$236,'Sucursales Empleado'!$B$2:$B$236),""))</f>
        <v>Parmessano Santafe Bogota</v>
      </c>
    </row>
    <row r="644" spans="1:4" ht="20.100000000000001" hidden="1" customHeight="1" x14ac:dyDescent="0.45">
      <c r="A644" s="3">
        <v>5756332</v>
      </c>
      <c r="B644" s="2" t="s">
        <v>51</v>
      </c>
      <c r="C644" s="2" t="s">
        <v>472</v>
      </c>
      <c r="D644" s="10" t="str">
        <f>IFERROR(_xlfn.XLOOKUP($A644&amp;"",Hoja1!$C$2:$C$253,Hoja1!$D$2:$D$253),IFERROR(_xlfn.XLOOKUP($A644,'Sucursales Empleado'!$A$2:$A$236,'Sucursales Empleado'!$B$2:$B$236),""))</f>
        <v>Parmessano Santafe Bogota</v>
      </c>
    </row>
    <row r="645" spans="1:4" ht="20.100000000000001" hidden="1" customHeight="1" x14ac:dyDescent="0.45">
      <c r="A645" s="3">
        <v>1424124</v>
      </c>
      <c r="B645" s="2" t="s">
        <v>53</v>
      </c>
      <c r="C645" s="2" t="s">
        <v>472</v>
      </c>
      <c r="D645" s="10" t="str">
        <f>IFERROR(_xlfn.XLOOKUP($A645&amp;"",Hoja1!$C$2:$C$253,Hoja1!$D$2:$D$253),IFERROR(_xlfn.XLOOKUP($A645,'Sucursales Empleado'!$A$2:$A$236,'Sucursales Empleado'!$B$2:$B$236),""))</f>
        <v>Parmessano Santafe Bogota</v>
      </c>
    </row>
    <row r="646" spans="1:4" ht="20.100000000000001" hidden="1" customHeight="1" x14ac:dyDescent="0.45">
      <c r="A646" s="3">
        <v>1424124</v>
      </c>
      <c r="B646" s="2" t="s">
        <v>1251</v>
      </c>
      <c r="C646" s="2" t="s">
        <v>472</v>
      </c>
      <c r="D646" s="10" t="str">
        <f>IFERROR(_xlfn.XLOOKUP($A646&amp;"",Hoja1!$C$2:$C$253,Hoja1!$D$2:$D$253),IFERROR(_xlfn.XLOOKUP($A646,'Sucursales Empleado'!$A$2:$A$236,'Sucursales Empleado'!$B$2:$B$236),""))</f>
        <v>Parmessano Santafe Bogota</v>
      </c>
    </row>
    <row r="647" spans="1:4" ht="20.100000000000001" hidden="1" customHeight="1" x14ac:dyDescent="0.45">
      <c r="A647" s="3">
        <v>1424124</v>
      </c>
      <c r="B647" s="2" t="s">
        <v>1253</v>
      </c>
      <c r="C647" s="2" t="s">
        <v>472</v>
      </c>
      <c r="D647" s="10" t="str">
        <f>IFERROR(_xlfn.XLOOKUP($A647&amp;"",Hoja1!$C$2:$C$253,Hoja1!$D$2:$D$253),IFERROR(_xlfn.XLOOKUP($A647,'Sucursales Empleado'!$A$2:$A$236,'Sucursales Empleado'!$B$2:$B$236),""))</f>
        <v>Parmessano Santafe Bogota</v>
      </c>
    </row>
    <row r="648" spans="1:4" ht="20.100000000000001" hidden="1" customHeight="1" x14ac:dyDescent="0.45">
      <c r="A648" s="3">
        <v>1479548</v>
      </c>
      <c r="B648" s="2" t="s">
        <v>53</v>
      </c>
      <c r="C648" s="2" t="s">
        <v>472</v>
      </c>
      <c r="D648" s="10" t="str">
        <f>IFERROR(_xlfn.XLOOKUP($A648&amp;"",Hoja1!$C$2:$C$253,Hoja1!$D$2:$D$253),IFERROR(_xlfn.XLOOKUP($A648,'Sucursales Empleado'!$A$2:$A$236,'Sucursales Empleado'!$B$2:$B$236),""))</f>
        <v>Parmessano Santafe Bogota</v>
      </c>
    </row>
    <row r="649" spans="1:4" ht="20.100000000000001" hidden="1" customHeight="1" x14ac:dyDescent="0.45">
      <c r="A649" s="3">
        <v>1479548</v>
      </c>
      <c r="B649" s="2" t="s">
        <v>1251</v>
      </c>
      <c r="C649" s="2" t="s">
        <v>472</v>
      </c>
      <c r="D649" s="10" t="str">
        <f>IFERROR(_xlfn.XLOOKUP($A649&amp;"",Hoja1!$C$2:$C$253,Hoja1!$D$2:$D$253),IFERROR(_xlfn.XLOOKUP($A649,'Sucursales Empleado'!$A$2:$A$236,'Sucursales Empleado'!$B$2:$B$236),""))</f>
        <v>Parmessano Santafe Bogota</v>
      </c>
    </row>
    <row r="650" spans="1:4" ht="20.100000000000001" hidden="1" customHeight="1" x14ac:dyDescent="0.45">
      <c r="A650" s="3">
        <v>1479548</v>
      </c>
      <c r="B650" s="2" t="s">
        <v>1253</v>
      </c>
      <c r="C650" s="2" t="s">
        <v>472</v>
      </c>
      <c r="D650" s="10" t="str">
        <f>IFERROR(_xlfn.XLOOKUP($A650&amp;"",Hoja1!$C$2:$C$253,Hoja1!$D$2:$D$253),IFERROR(_xlfn.XLOOKUP($A650,'Sucursales Empleado'!$A$2:$A$236,'Sucursales Empleado'!$B$2:$B$236),""))</f>
        <v>Parmessano Santafe Bogota</v>
      </c>
    </row>
    <row r="651" spans="1:4" ht="20.100000000000001" hidden="1" customHeight="1" x14ac:dyDescent="0.45">
      <c r="A651" s="3">
        <v>1016071262</v>
      </c>
      <c r="B651" s="2" t="s">
        <v>50</v>
      </c>
      <c r="C651" s="2" t="s">
        <v>472</v>
      </c>
      <c r="D651" s="10" t="str">
        <f>IFERROR(_xlfn.XLOOKUP($A651&amp;"",Hoja1!$C$2:$C$253,Hoja1!$D$2:$D$253),IFERROR(_xlfn.XLOOKUP($A651,'Sucursales Empleado'!$A$2:$A$236,'Sucursales Empleado'!$B$2:$B$236),""))</f>
        <v>Parmessano Santafe Bogota</v>
      </c>
    </row>
    <row r="652" spans="1:4" ht="20.100000000000001" hidden="1" customHeight="1" x14ac:dyDescent="0.45">
      <c r="A652" s="3">
        <v>1016071262</v>
      </c>
      <c r="B652" s="2" t="s">
        <v>1254</v>
      </c>
      <c r="C652" s="2" t="s">
        <v>472</v>
      </c>
      <c r="D652" s="10" t="str">
        <f>IFERROR(_xlfn.XLOOKUP($A652&amp;"",Hoja1!$C$2:$C$253,Hoja1!$D$2:$D$253),IFERROR(_xlfn.XLOOKUP($A652,'Sucursales Empleado'!$A$2:$A$236,'Sucursales Empleado'!$B$2:$B$236),""))</f>
        <v>Parmessano Santafe Bogota</v>
      </c>
    </row>
    <row r="653" spans="1:4" ht="20.100000000000001" hidden="1" customHeight="1" x14ac:dyDescent="0.45">
      <c r="A653" s="3">
        <v>1016071262</v>
      </c>
      <c r="B653" s="2" t="s">
        <v>51</v>
      </c>
      <c r="C653" s="2" t="s">
        <v>472</v>
      </c>
      <c r="D653" s="10" t="str">
        <f>IFERROR(_xlfn.XLOOKUP($A653&amp;"",Hoja1!$C$2:$C$253,Hoja1!$D$2:$D$253),IFERROR(_xlfn.XLOOKUP($A653,'Sucursales Empleado'!$A$2:$A$236,'Sucursales Empleado'!$B$2:$B$236),""))</f>
        <v>Parmessano Santafe Bogota</v>
      </c>
    </row>
    <row r="654" spans="1:4" ht="20.100000000000001" hidden="1" customHeight="1" x14ac:dyDescent="0.45">
      <c r="A654" s="3">
        <v>24070775</v>
      </c>
      <c r="B654" s="2" t="s">
        <v>55</v>
      </c>
      <c r="C654" s="2" t="s">
        <v>472</v>
      </c>
      <c r="D654" s="10" t="str">
        <f>IFERROR(_xlfn.XLOOKUP($A654&amp;"",Hoja1!$C$2:$C$253,Hoja1!$D$2:$D$253),IFERROR(_xlfn.XLOOKUP($A654,'Sucursales Empleado'!$A$2:$A$236,'Sucursales Empleado'!$B$2:$B$236),""))</f>
        <v>Parmessano Santafe Bogota</v>
      </c>
    </row>
    <row r="655" spans="1:4" ht="20.100000000000001" hidden="1" customHeight="1" x14ac:dyDescent="0.45">
      <c r="A655" s="3">
        <v>5011894</v>
      </c>
      <c r="B655" s="2" t="s">
        <v>53</v>
      </c>
      <c r="C655" s="2" t="s">
        <v>472</v>
      </c>
      <c r="D655" s="10" t="str">
        <f>IFERROR(_xlfn.XLOOKUP($A655&amp;"",Hoja1!$C$2:$C$253,Hoja1!$D$2:$D$253),IFERROR(_xlfn.XLOOKUP($A655,'Sucursales Empleado'!$A$2:$A$236,'Sucursales Empleado'!$B$2:$B$236),""))</f>
        <v>Parmessano Santafe Bogota</v>
      </c>
    </row>
    <row r="656" spans="1:4" ht="20.100000000000001" hidden="1" customHeight="1" x14ac:dyDescent="0.45">
      <c r="A656" s="3">
        <v>5011894</v>
      </c>
      <c r="B656" s="2" t="s">
        <v>1251</v>
      </c>
      <c r="C656" s="2" t="s">
        <v>472</v>
      </c>
      <c r="D656" s="10" t="str">
        <f>IFERROR(_xlfn.XLOOKUP($A656&amp;"",Hoja1!$C$2:$C$253,Hoja1!$D$2:$D$253),IFERROR(_xlfn.XLOOKUP($A656,'Sucursales Empleado'!$A$2:$A$236,'Sucursales Empleado'!$B$2:$B$236),""))</f>
        <v>Parmessano Santafe Bogota</v>
      </c>
    </row>
    <row r="657" spans="1:4" ht="20.100000000000001" hidden="1" customHeight="1" x14ac:dyDescent="0.45">
      <c r="A657" s="3">
        <v>5011894</v>
      </c>
      <c r="B657" s="2" t="s">
        <v>1253</v>
      </c>
      <c r="C657" s="2" t="s">
        <v>472</v>
      </c>
      <c r="D657" s="10" t="str">
        <f>IFERROR(_xlfn.XLOOKUP($A657&amp;"",Hoja1!$C$2:$C$253,Hoja1!$D$2:$D$253),IFERROR(_xlfn.XLOOKUP($A657,'Sucursales Empleado'!$A$2:$A$236,'Sucursales Empleado'!$B$2:$B$236),""))</f>
        <v>Parmessano Santafe Bogota</v>
      </c>
    </row>
    <row r="658" spans="1:4" ht="20.100000000000001" hidden="1" customHeight="1" x14ac:dyDescent="0.45">
      <c r="A658" s="3">
        <v>4890407</v>
      </c>
      <c r="B658" s="2" t="s">
        <v>53</v>
      </c>
      <c r="C658" s="2" t="s">
        <v>472</v>
      </c>
      <c r="D658" s="10" t="str">
        <f>IFERROR(_xlfn.XLOOKUP($A658&amp;"",Hoja1!$C$2:$C$253,Hoja1!$D$2:$D$253),IFERROR(_xlfn.XLOOKUP($A658,'Sucursales Empleado'!$A$2:$A$236,'Sucursales Empleado'!$B$2:$B$236),""))</f>
        <v>Parmessano Santafe Bogota</v>
      </c>
    </row>
    <row r="659" spans="1:4" ht="20.100000000000001" hidden="1" customHeight="1" x14ac:dyDescent="0.45">
      <c r="A659" s="3">
        <v>4890407</v>
      </c>
      <c r="B659" s="2" t="s">
        <v>1251</v>
      </c>
      <c r="C659" s="2" t="s">
        <v>472</v>
      </c>
      <c r="D659" s="10" t="str">
        <f>IFERROR(_xlfn.XLOOKUP($A659&amp;"",Hoja1!$C$2:$C$253,Hoja1!$D$2:$D$253),IFERROR(_xlfn.XLOOKUP($A659,'Sucursales Empleado'!$A$2:$A$236,'Sucursales Empleado'!$B$2:$B$236),""))</f>
        <v>Parmessano Santafe Bogota</v>
      </c>
    </row>
    <row r="660" spans="1:4" ht="20.100000000000001" hidden="1" customHeight="1" x14ac:dyDescent="0.45">
      <c r="A660" s="3">
        <v>4890407</v>
      </c>
      <c r="B660" s="2" t="s">
        <v>1253</v>
      </c>
      <c r="C660" s="2" t="s">
        <v>472</v>
      </c>
      <c r="D660" s="10" t="str">
        <f>IFERROR(_xlfn.XLOOKUP($A660&amp;"",Hoja1!$C$2:$C$253,Hoja1!$D$2:$D$253),IFERROR(_xlfn.XLOOKUP($A660,'Sucursales Empleado'!$A$2:$A$236,'Sucursales Empleado'!$B$2:$B$236),""))</f>
        <v>Parmessano Santafe Bogota</v>
      </c>
    </row>
    <row r="661" spans="1:4" ht="20.100000000000001" hidden="1" customHeight="1" x14ac:dyDescent="0.45">
      <c r="A661" s="3">
        <v>1924588</v>
      </c>
      <c r="B661" s="2" t="s">
        <v>53</v>
      </c>
      <c r="C661" s="2" t="s">
        <v>472</v>
      </c>
      <c r="D661" s="10" t="str">
        <f>IFERROR(_xlfn.XLOOKUP($A661&amp;"",Hoja1!$C$2:$C$253,Hoja1!$D$2:$D$253),IFERROR(_xlfn.XLOOKUP($A661,'Sucursales Empleado'!$A$2:$A$236,'Sucursales Empleado'!$B$2:$B$236),""))</f>
        <v>Parmessano Santafe Bogota</v>
      </c>
    </row>
    <row r="662" spans="1:4" ht="20.100000000000001" hidden="1" customHeight="1" x14ac:dyDescent="0.45">
      <c r="A662" s="3">
        <v>1924588</v>
      </c>
      <c r="B662" s="2" t="s">
        <v>1251</v>
      </c>
      <c r="C662" s="2" t="s">
        <v>472</v>
      </c>
      <c r="D662" s="10" t="str">
        <f>IFERROR(_xlfn.XLOOKUP($A662&amp;"",Hoja1!$C$2:$C$253,Hoja1!$D$2:$D$253),IFERROR(_xlfn.XLOOKUP($A662,'Sucursales Empleado'!$A$2:$A$236,'Sucursales Empleado'!$B$2:$B$236),""))</f>
        <v>Parmessano Santafe Bogota</v>
      </c>
    </row>
    <row r="663" spans="1:4" ht="20.100000000000001" hidden="1" customHeight="1" x14ac:dyDescent="0.45">
      <c r="A663" s="3">
        <v>1924588</v>
      </c>
      <c r="B663" s="2" t="s">
        <v>1253</v>
      </c>
      <c r="C663" s="2" t="s">
        <v>472</v>
      </c>
      <c r="D663" s="10" t="str">
        <f>IFERROR(_xlfn.XLOOKUP($A663&amp;"",Hoja1!$C$2:$C$253,Hoja1!$D$2:$D$253),IFERROR(_xlfn.XLOOKUP($A663,'Sucursales Empleado'!$A$2:$A$236,'Sucursales Empleado'!$B$2:$B$236),""))</f>
        <v>Parmessano Santafe Bogota</v>
      </c>
    </row>
    <row r="664" spans="1:4" ht="20.100000000000001" hidden="1" customHeight="1" x14ac:dyDescent="0.45">
      <c r="A664" s="3">
        <v>80771624</v>
      </c>
      <c r="B664" s="2" t="s">
        <v>53</v>
      </c>
      <c r="C664" s="2" t="s">
        <v>472</v>
      </c>
      <c r="D664" s="10" t="str">
        <f>IFERROR(_xlfn.XLOOKUP($A664&amp;"",Hoja1!$C$2:$C$253,Hoja1!$D$2:$D$253),IFERROR(_xlfn.XLOOKUP($A664,'Sucursales Empleado'!$A$2:$A$236,'Sucursales Empleado'!$B$2:$B$236),""))</f>
        <v>Parmessano Santafe Bogota</v>
      </c>
    </row>
    <row r="665" spans="1:4" ht="20.100000000000001" hidden="1" customHeight="1" x14ac:dyDescent="0.45">
      <c r="A665" s="3">
        <v>80771624</v>
      </c>
      <c r="B665" s="2" t="s">
        <v>1251</v>
      </c>
      <c r="C665" s="2" t="s">
        <v>472</v>
      </c>
      <c r="D665" s="10" t="str">
        <f>IFERROR(_xlfn.XLOOKUP($A665&amp;"",Hoja1!$C$2:$C$253,Hoja1!$D$2:$D$253),IFERROR(_xlfn.XLOOKUP($A665,'Sucursales Empleado'!$A$2:$A$236,'Sucursales Empleado'!$B$2:$B$236),""))</f>
        <v>Parmessano Santafe Bogota</v>
      </c>
    </row>
    <row r="666" spans="1:4" ht="20.100000000000001" hidden="1" customHeight="1" x14ac:dyDescent="0.45">
      <c r="A666" s="3">
        <v>80771624</v>
      </c>
      <c r="B666" s="2" t="s">
        <v>1253</v>
      </c>
      <c r="C666" s="2" t="s">
        <v>472</v>
      </c>
      <c r="D666" s="10" t="str">
        <f>IFERROR(_xlfn.XLOOKUP($A666&amp;"",Hoja1!$C$2:$C$253,Hoja1!$D$2:$D$253),IFERROR(_xlfn.XLOOKUP($A666,'Sucursales Empleado'!$A$2:$A$236,'Sucursales Empleado'!$B$2:$B$236),""))</f>
        <v>Parmessano Santafe Bogota</v>
      </c>
    </row>
    <row r="667" spans="1:4" ht="20.100000000000001" hidden="1" customHeight="1" x14ac:dyDescent="0.45">
      <c r="A667" s="3">
        <v>1030680394</v>
      </c>
      <c r="B667" s="2" t="s">
        <v>47</v>
      </c>
      <c r="C667" s="2" t="s">
        <v>472</v>
      </c>
      <c r="D667" s="10" t="str">
        <f>IFERROR(_xlfn.XLOOKUP($A667&amp;"",Hoja1!$C$2:$C$253,Hoja1!$D$2:$D$253),IFERROR(_xlfn.XLOOKUP($A667,'Sucursales Empleado'!$A$2:$A$236,'Sucursales Empleado'!$B$2:$B$236),""))</f>
        <v>Parmessano Santafe Bogota</v>
      </c>
    </row>
    <row r="668" spans="1:4" ht="20.100000000000001" hidden="1" customHeight="1" x14ac:dyDescent="0.45">
      <c r="A668" s="3">
        <v>1030680394</v>
      </c>
      <c r="B668" s="2" t="s">
        <v>48</v>
      </c>
      <c r="C668" s="2" t="s">
        <v>472</v>
      </c>
      <c r="D668" s="10" t="str">
        <f>IFERROR(_xlfn.XLOOKUP($A668&amp;"",Hoja1!$C$2:$C$253,Hoja1!$D$2:$D$253),IFERROR(_xlfn.XLOOKUP($A668,'Sucursales Empleado'!$A$2:$A$236,'Sucursales Empleado'!$B$2:$B$236),""))</f>
        <v>Parmessano Santafe Bogota</v>
      </c>
    </row>
    <row r="669" spans="1:4" ht="20.100000000000001" hidden="1" customHeight="1" x14ac:dyDescent="0.45">
      <c r="A669" s="3">
        <v>5453915</v>
      </c>
      <c r="B669" s="2" t="s">
        <v>53</v>
      </c>
      <c r="C669" s="2" t="s">
        <v>472</v>
      </c>
      <c r="D669" s="10" t="str">
        <f>IFERROR(_xlfn.XLOOKUP($A669&amp;"",Hoja1!$C$2:$C$253,Hoja1!$D$2:$D$253),IFERROR(_xlfn.XLOOKUP($A669,'Sucursales Empleado'!$A$2:$A$236,'Sucursales Empleado'!$B$2:$B$236),""))</f>
        <v>Parmessano Santafe Bogota</v>
      </c>
    </row>
    <row r="670" spans="1:4" ht="20.100000000000001" hidden="1" customHeight="1" x14ac:dyDescent="0.45">
      <c r="A670" s="3">
        <v>5453915</v>
      </c>
      <c r="B670" s="2" t="s">
        <v>1251</v>
      </c>
      <c r="C670" s="2" t="s">
        <v>472</v>
      </c>
      <c r="D670" s="10" t="str">
        <f>IFERROR(_xlfn.XLOOKUP($A670&amp;"",Hoja1!$C$2:$C$253,Hoja1!$D$2:$D$253),IFERROR(_xlfn.XLOOKUP($A670,'Sucursales Empleado'!$A$2:$A$236,'Sucursales Empleado'!$B$2:$B$236),""))</f>
        <v>Parmessano Santafe Bogota</v>
      </c>
    </row>
    <row r="671" spans="1:4" ht="20.100000000000001" hidden="1" customHeight="1" x14ac:dyDescent="0.45">
      <c r="A671" s="3">
        <v>5453915</v>
      </c>
      <c r="B671" s="2" t="s">
        <v>1253</v>
      </c>
      <c r="C671" s="2" t="s">
        <v>472</v>
      </c>
      <c r="D671" s="10" t="str">
        <f>IFERROR(_xlfn.XLOOKUP($A671&amp;"",Hoja1!$C$2:$C$253,Hoja1!$D$2:$D$253),IFERROR(_xlfn.XLOOKUP($A671,'Sucursales Empleado'!$A$2:$A$236,'Sucursales Empleado'!$B$2:$B$236),""))</f>
        <v>Parmessano Santafe Bogota</v>
      </c>
    </row>
    <row r="672" spans="1:4" ht="20.100000000000001" hidden="1" customHeight="1" x14ac:dyDescent="0.45">
      <c r="A672" s="3">
        <v>4551316</v>
      </c>
      <c r="B672" s="2" t="s">
        <v>53</v>
      </c>
      <c r="C672" s="2" t="s">
        <v>472</v>
      </c>
      <c r="D672" s="10" t="str">
        <f>IFERROR(_xlfn.XLOOKUP($A672&amp;"",Hoja1!$C$2:$C$253,Hoja1!$D$2:$D$253),IFERROR(_xlfn.XLOOKUP($A672,'Sucursales Empleado'!$A$2:$A$236,'Sucursales Empleado'!$B$2:$B$236),""))</f>
        <v>Parmessano Santafe Bogota</v>
      </c>
    </row>
    <row r="673" spans="1:4" ht="20.100000000000001" hidden="1" customHeight="1" x14ac:dyDescent="0.45">
      <c r="A673" s="3">
        <v>4551316</v>
      </c>
      <c r="B673" s="2" t="s">
        <v>1251</v>
      </c>
      <c r="C673" s="2" t="s">
        <v>472</v>
      </c>
      <c r="D673" s="10" t="str">
        <f>IFERROR(_xlfn.XLOOKUP($A673&amp;"",Hoja1!$C$2:$C$253,Hoja1!$D$2:$D$253),IFERROR(_xlfn.XLOOKUP($A673,'Sucursales Empleado'!$A$2:$A$236,'Sucursales Empleado'!$B$2:$B$236),""))</f>
        <v>Parmessano Santafe Bogota</v>
      </c>
    </row>
    <row r="674" spans="1:4" ht="20.100000000000001" hidden="1" customHeight="1" x14ac:dyDescent="0.45">
      <c r="A674" s="3">
        <v>4551316</v>
      </c>
      <c r="B674" s="2" t="s">
        <v>1253</v>
      </c>
      <c r="C674" s="2" t="s">
        <v>472</v>
      </c>
      <c r="D674" s="10" t="str">
        <f>IFERROR(_xlfn.XLOOKUP($A674&amp;"",Hoja1!$C$2:$C$253,Hoja1!$D$2:$D$253),IFERROR(_xlfn.XLOOKUP($A674,'Sucursales Empleado'!$A$2:$A$236,'Sucursales Empleado'!$B$2:$B$236),""))</f>
        <v>Parmessano Santafe Bogota</v>
      </c>
    </row>
    <row r="675" spans="1:4" ht="20.100000000000001" hidden="1" customHeight="1" x14ac:dyDescent="0.45">
      <c r="A675" s="3">
        <v>1000223421</v>
      </c>
      <c r="B675" s="2" t="s">
        <v>47</v>
      </c>
      <c r="C675" s="2" t="s">
        <v>473</v>
      </c>
      <c r="D675" s="10" t="str">
        <f>IFERROR(_xlfn.XLOOKUP($A675&amp;"",Hoja1!$C$2:$C$253,Hoja1!$D$2:$D$253),IFERROR(_xlfn.XLOOKUP($A675,'Sucursales Empleado'!$A$2:$A$236,'Sucursales Empleado'!$B$2:$B$236),""))</f>
        <v>Parmessano Santafe Bogota</v>
      </c>
    </row>
    <row r="676" spans="1:4" ht="20.100000000000001" hidden="1" customHeight="1" x14ac:dyDescent="0.45">
      <c r="A676" s="3">
        <v>1000223421</v>
      </c>
      <c r="B676" s="2" t="s">
        <v>48</v>
      </c>
      <c r="C676" s="2" t="s">
        <v>473</v>
      </c>
      <c r="D676" s="10" t="str">
        <f>IFERROR(_xlfn.XLOOKUP($A676&amp;"",Hoja1!$C$2:$C$253,Hoja1!$D$2:$D$253),IFERROR(_xlfn.XLOOKUP($A676,'Sucursales Empleado'!$A$2:$A$236,'Sucursales Empleado'!$B$2:$B$236),""))</f>
        <v>Parmessano Santafe Bogota</v>
      </c>
    </row>
    <row r="677" spans="1:4" ht="20.100000000000001" hidden="1" customHeight="1" x14ac:dyDescent="0.45">
      <c r="A677" s="3">
        <v>1010206342</v>
      </c>
      <c r="B677" s="2" t="s">
        <v>50</v>
      </c>
      <c r="C677" s="2" t="s">
        <v>472</v>
      </c>
      <c r="D677" s="10" t="str">
        <f>IFERROR(_xlfn.XLOOKUP($A677&amp;"",Hoja1!$C$2:$C$253,Hoja1!$D$2:$D$253),IFERROR(_xlfn.XLOOKUP($A677,'Sucursales Empleado'!$A$2:$A$236,'Sucursales Empleado'!$B$2:$B$236),""))</f>
        <v>Parmessano Santafe Bogota</v>
      </c>
    </row>
    <row r="678" spans="1:4" ht="20.100000000000001" hidden="1" customHeight="1" x14ac:dyDescent="0.45">
      <c r="A678" s="3">
        <v>1010206342</v>
      </c>
      <c r="B678" s="2" t="s">
        <v>1253</v>
      </c>
      <c r="C678" s="2" t="s">
        <v>472</v>
      </c>
      <c r="D678" s="10" t="str">
        <f>IFERROR(_xlfn.XLOOKUP($A678&amp;"",Hoja1!$C$2:$C$253,Hoja1!$D$2:$D$253),IFERROR(_xlfn.XLOOKUP($A678,'Sucursales Empleado'!$A$2:$A$236,'Sucursales Empleado'!$B$2:$B$236),""))</f>
        <v>Parmessano Santafe Bogota</v>
      </c>
    </row>
    <row r="679" spans="1:4" ht="20.100000000000001" hidden="1" customHeight="1" x14ac:dyDescent="0.45">
      <c r="A679" s="3">
        <v>1010206342</v>
      </c>
      <c r="B679" s="2" t="s">
        <v>51</v>
      </c>
      <c r="C679" s="2" t="s">
        <v>472</v>
      </c>
      <c r="D679" s="10" t="str">
        <f>IFERROR(_xlfn.XLOOKUP($A679&amp;"",Hoja1!$C$2:$C$253,Hoja1!$D$2:$D$253),IFERROR(_xlfn.XLOOKUP($A679,'Sucursales Empleado'!$A$2:$A$236,'Sucursales Empleado'!$B$2:$B$236),""))</f>
        <v>Parmessano Santafe Bogota</v>
      </c>
    </row>
    <row r="680" spans="1:4" ht="20.100000000000001" hidden="1" customHeight="1" x14ac:dyDescent="0.45">
      <c r="A680" s="3">
        <v>1046400639</v>
      </c>
      <c r="B680" s="2" t="s">
        <v>50</v>
      </c>
      <c r="C680" s="2" t="s">
        <v>472</v>
      </c>
      <c r="D680" s="10" t="str">
        <f>IFERROR(_xlfn.XLOOKUP($A680&amp;"",Hoja1!$C$2:$C$253,Hoja1!$D$2:$D$253),IFERROR(_xlfn.XLOOKUP($A680,'Sucursales Empleado'!$A$2:$A$236,'Sucursales Empleado'!$B$2:$B$236),""))</f>
        <v>Parmessano Santafe Bogota</v>
      </c>
    </row>
    <row r="681" spans="1:4" ht="20.100000000000001" hidden="1" customHeight="1" x14ac:dyDescent="0.45">
      <c r="A681" s="3">
        <v>1046400639</v>
      </c>
      <c r="B681" s="2" t="s">
        <v>1254</v>
      </c>
      <c r="C681" s="2" t="s">
        <v>472</v>
      </c>
      <c r="D681" s="10" t="str">
        <f>IFERROR(_xlfn.XLOOKUP($A681&amp;"",Hoja1!$C$2:$C$253,Hoja1!$D$2:$D$253),IFERROR(_xlfn.XLOOKUP($A681,'Sucursales Empleado'!$A$2:$A$236,'Sucursales Empleado'!$B$2:$B$236),""))</f>
        <v>Parmessano Santafe Bogota</v>
      </c>
    </row>
    <row r="682" spans="1:4" ht="20.100000000000001" hidden="1" customHeight="1" x14ac:dyDescent="0.45">
      <c r="A682" s="3">
        <v>1046400639</v>
      </c>
      <c r="B682" s="2" t="s">
        <v>51</v>
      </c>
      <c r="C682" s="2" t="s">
        <v>472</v>
      </c>
      <c r="D682" s="10" t="str">
        <f>IFERROR(_xlfn.XLOOKUP($A682&amp;"",Hoja1!$C$2:$C$253,Hoja1!$D$2:$D$253),IFERROR(_xlfn.XLOOKUP($A682,'Sucursales Empleado'!$A$2:$A$236,'Sucursales Empleado'!$B$2:$B$236),""))</f>
        <v>Parmessano Santafe Bogota</v>
      </c>
    </row>
    <row r="683" spans="1:4" ht="20.100000000000001" hidden="1" customHeight="1" x14ac:dyDescent="0.45">
      <c r="A683" s="3">
        <v>1233907395</v>
      </c>
      <c r="B683" s="2" t="s">
        <v>47</v>
      </c>
      <c r="C683" s="2" t="s">
        <v>471</v>
      </c>
      <c r="D683" s="10" t="str">
        <f>IFERROR(_xlfn.XLOOKUP($A683&amp;"",Hoja1!$C$2:$C$253,Hoja1!$D$2:$D$253),IFERROR(_xlfn.XLOOKUP($A683,'Sucursales Empleado'!$A$2:$A$236,'Sucursales Empleado'!$B$2:$B$236),""))</f>
        <v>Parmessano Santafe Bogota</v>
      </c>
    </row>
    <row r="684" spans="1:4" ht="20.100000000000001" hidden="1" customHeight="1" x14ac:dyDescent="0.45">
      <c r="A684" s="3">
        <v>1233907395</v>
      </c>
      <c r="B684" s="2" t="s">
        <v>48</v>
      </c>
      <c r="C684" s="2" t="s">
        <v>471</v>
      </c>
      <c r="D684" s="10" t="str">
        <f>IFERROR(_xlfn.XLOOKUP($A684&amp;"",Hoja1!$C$2:$C$253,Hoja1!$D$2:$D$253),IFERROR(_xlfn.XLOOKUP($A684,'Sucursales Empleado'!$A$2:$A$236,'Sucursales Empleado'!$B$2:$B$236),""))</f>
        <v>Parmessano Santafe Bogota</v>
      </c>
    </row>
    <row r="685" spans="1:4" ht="20.100000000000001" hidden="1" customHeight="1" x14ac:dyDescent="0.45">
      <c r="A685" s="3">
        <v>52986325</v>
      </c>
      <c r="B685" s="2" t="s">
        <v>53</v>
      </c>
      <c r="C685" s="2" t="s">
        <v>471</v>
      </c>
      <c r="D685" s="10" t="str">
        <f>IFERROR(_xlfn.XLOOKUP($A685&amp;"",Hoja1!$C$2:$C$253,Hoja1!$D$2:$D$253),IFERROR(_xlfn.XLOOKUP($A685,'Sucursales Empleado'!$A$2:$A$236,'Sucursales Empleado'!$B$2:$B$236),""))</f>
        <v>Parmessano Santafe Bogota</v>
      </c>
    </row>
    <row r="686" spans="1:4" ht="20.100000000000001" hidden="1" customHeight="1" x14ac:dyDescent="0.45">
      <c r="A686" s="3">
        <v>52986325</v>
      </c>
      <c r="B686" s="2" t="s">
        <v>1251</v>
      </c>
      <c r="C686" s="2" t="s">
        <v>471</v>
      </c>
      <c r="D686" s="10" t="str">
        <f>IFERROR(_xlfn.XLOOKUP($A686&amp;"",Hoja1!$C$2:$C$253,Hoja1!$D$2:$D$253),IFERROR(_xlfn.XLOOKUP($A686,'Sucursales Empleado'!$A$2:$A$236,'Sucursales Empleado'!$B$2:$B$236),""))</f>
        <v>Parmessano Santafe Bogota</v>
      </c>
    </row>
    <row r="687" spans="1:4" ht="20.100000000000001" hidden="1" customHeight="1" x14ac:dyDescent="0.45">
      <c r="A687" s="3">
        <v>52986325</v>
      </c>
      <c r="B687" s="2" t="s">
        <v>1253</v>
      </c>
      <c r="C687" s="2" t="s">
        <v>471</v>
      </c>
      <c r="D687" s="10" t="str">
        <f>IFERROR(_xlfn.XLOOKUP($A687&amp;"",Hoja1!$C$2:$C$253,Hoja1!$D$2:$D$253),IFERROR(_xlfn.XLOOKUP($A687,'Sucursales Empleado'!$A$2:$A$236,'Sucursales Empleado'!$B$2:$B$236),""))</f>
        <v>Parmessano Santafe Bogota</v>
      </c>
    </row>
    <row r="688" spans="1:4" ht="20.100000000000001" hidden="1" customHeight="1" x14ac:dyDescent="0.45">
      <c r="A688" s="3">
        <v>1000464386</v>
      </c>
      <c r="B688" s="2" t="s">
        <v>53</v>
      </c>
      <c r="C688" s="2" t="s">
        <v>471</v>
      </c>
      <c r="D688" s="10" t="str">
        <f>IFERROR(_xlfn.XLOOKUP($A688&amp;"",Hoja1!$C$2:$C$253,Hoja1!$D$2:$D$253),IFERROR(_xlfn.XLOOKUP($A688,'Sucursales Empleado'!$A$2:$A$236,'Sucursales Empleado'!$B$2:$B$236),""))</f>
        <v>Parmessano Santafe Bogota</v>
      </c>
    </row>
    <row r="689" spans="1:4" ht="20.100000000000001" hidden="1" customHeight="1" x14ac:dyDescent="0.45">
      <c r="A689" s="3">
        <v>1000464386</v>
      </c>
      <c r="B689" s="2" t="s">
        <v>1251</v>
      </c>
      <c r="C689" s="2" t="s">
        <v>471</v>
      </c>
      <c r="D689" s="10" t="str">
        <f>IFERROR(_xlfn.XLOOKUP($A689&amp;"",Hoja1!$C$2:$C$253,Hoja1!$D$2:$D$253),IFERROR(_xlfn.XLOOKUP($A689,'Sucursales Empleado'!$A$2:$A$236,'Sucursales Empleado'!$B$2:$B$236),""))</f>
        <v>Parmessano Santafe Bogota</v>
      </c>
    </row>
    <row r="690" spans="1:4" ht="20.100000000000001" hidden="1" customHeight="1" x14ac:dyDescent="0.45">
      <c r="A690" s="3">
        <v>1000464386</v>
      </c>
      <c r="B690" s="2" t="s">
        <v>1253</v>
      </c>
      <c r="C690" s="2" t="s">
        <v>471</v>
      </c>
      <c r="D690" s="10" t="str">
        <f>IFERROR(_xlfn.XLOOKUP($A690&amp;"",Hoja1!$C$2:$C$253,Hoja1!$D$2:$D$253),IFERROR(_xlfn.XLOOKUP($A690,'Sucursales Empleado'!$A$2:$A$236,'Sucursales Empleado'!$B$2:$B$236),""))</f>
        <v>Parmessano Santafe Bogota</v>
      </c>
    </row>
    <row r="691" spans="1:4" ht="20.100000000000001" hidden="1" customHeight="1" x14ac:dyDescent="0.45">
      <c r="A691" s="3">
        <v>1479548</v>
      </c>
      <c r="B691" s="2" t="s">
        <v>50</v>
      </c>
      <c r="C691" s="2" t="s">
        <v>472</v>
      </c>
      <c r="D691" s="10" t="str">
        <f>IFERROR(_xlfn.XLOOKUP($A691&amp;"",Hoja1!$C$2:$C$253,Hoja1!$D$2:$D$253),IFERROR(_xlfn.XLOOKUP($A691,'Sucursales Empleado'!$A$2:$A$236,'Sucursales Empleado'!$B$2:$B$236),""))</f>
        <v>Parmessano Santafe Bogota</v>
      </c>
    </row>
    <row r="692" spans="1:4" ht="20.100000000000001" hidden="1" customHeight="1" x14ac:dyDescent="0.45">
      <c r="A692" s="3">
        <v>1479548</v>
      </c>
      <c r="B692" s="2" t="s">
        <v>51</v>
      </c>
      <c r="C692" s="2" t="s">
        <v>472</v>
      </c>
      <c r="D692" s="10" t="str">
        <f>IFERROR(_xlfn.XLOOKUP($A692&amp;"",Hoja1!$C$2:$C$253,Hoja1!$D$2:$D$253),IFERROR(_xlfn.XLOOKUP($A692,'Sucursales Empleado'!$A$2:$A$236,'Sucursales Empleado'!$B$2:$B$236),""))</f>
        <v>Parmessano Santafe Bogota</v>
      </c>
    </row>
    <row r="693" spans="1:4" ht="20.100000000000001" hidden="1" customHeight="1" x14ac:dyDescent="0.45">
      <c r="A693" s="5">
        <v>1000253087</v>
      </c>
      <c r="B693" s="6" t="s">
        <v>50</v>
      </c>
      <c r="C693" s="6" t="s">
        <v>471</v>
      </c>
      <c r="D693" s="10" t="str">
        <f>IFERROR(_xlfn.XLOOKUP($A693&amp;"",Hoja1!$C$2:$C$253,Hoja1!$D$2:$D$253),IFERROR(_xlfn.XLOOKUP($A693,'Sucursales Empleado'!$A$2:$A$236,'Sucursales Empleado'!$B$2:$B$236),""))</f>
        <v>Parmessano Santafe Bogota</v>
      </c>
    </row>
    <row r="694" spans="1:4" ht="20.100000000000001" hidden="1" customHeight="1" x14ac:dyDescent="0.45">
      <c r="A694" s="5">
        <v>1000253087</v>
      </c>
      <c r="B694" s="2" t="s">
        <v>1253</v>
      </c>
      <c r="C694" s="6" t="s">
        <v>471</v>
      </c>
      <c r="D694" s="10" t="str">
        <f>IFERROR(_xlfn.XLOOKUP($A694&amp;"",Hoja1!$C$2:$C$253,Hoja1!$D$2:$D$253),IFERROR(_xlfn.XLOOKUP($A694,'Sucursales Empleado'!$A$2:$A$236,'Sucursales Empleado'!$B$2:$B$236),""))</f>
        <v>Parmessano Santafe Bogota</v>
      </c>
    </row>
    <row r="695" spans="1:4" ht="20.100000000000001" hidden="1" customHeight="1" x14ac:dyDescent="0.45">
      <c r="A695" s="5">
        <v>1000253087</v>
      </c>
      <c r="B695" s="6" t="s">
        <v>51</v>
      </c>
      <c r="C695" s="6" t="s">
        <v>471</v>
      </c>
      <c r="D695" s="10" t="str">
        <f>IFERROR(_xlfn.XLOOKUP($A695&amp;"",Hoja1!$C$2:$C$253,Hoja1!$D$2:$D$253),IFERROR(_xlfn.XLOOKUP($A695,'Sucursales Empleado'!$A$2:$A$236,'Sucursales Empleado'!$B$2:$B$236),""))</f>
        <v>Parmessano Santafe Bogota</v>
      </c>
    </row>
    <row r="696" spans="1:4" ht="20.100000000000001" hidden="1" customHeight="1" x14ac:dyDescent="0.45">
      <c r="A696" s="5">
        <v>1000380971</v>
      </c>
      <c r="B696" s="6" t="s">
        <v>50</v>
      </c>
      <c r="C696" s="6" t="s">
        <v>471</v>
      </c>
      <c r="D696" s="10" t="str">
        <f>IFERROR(_xlfn.XLOOKUP($A696&amp;"",Hoja1!$C$2:$C$253,Hoja1!$D$2:$D$253),IFERROR(_xlfn.XLOOKUP($A696,'Sucursales Empleado'!$A$2:$A$236,'Sucursales Empleado'!$B$2:$B$236),""))</f>
        <v>Parmessano Santafe Bogota</v>
      </c>
    </row>
    <row r="697" spans="1:4" ht="20.100000000000001" hidden="1" customHeight="1" x14ac:dyDescent="0.45">
      <c r="A697" s="5">
        <v>1000380971</v>
      </c>
      <c r="B697" s="2" t="s">
        <v>1253</v>
      </c>
      <c r="C697" s="6" t="s">
        <v>471</v>
      </c>
      <c r="D697" s="10" t="str">
        <f>IFERROR(_xlfn.XLOOKUP($A697&amp;"",Hoja1!$C$2:$C$253,Hoja1!$D$2:$D$253),IFERROR(_xlfn.XLOOKUP($A697,'Sucursales Empleado'!$A$2:$A$236,'Sucursales Empleado'!$B$2:$B$236),""))</f>
        <v>Parmessano Santafe Bogota</v>
      </c>
    </row>
    <row r="698" spans="1:4" ht="20.100000000000001" hidden="1" customHeight="1" x14ac:dyDescent="0.45">
      <c r="A698" s="5">
        <v>1000380971</v>
      </c>
      <c r="B698" s="6" t="s">
        <v>51</v>
      </c>
      <c r="C698" s="6" t="s">
        <v>471</v>
      </c>
      <c r="D698" s="10" t="str">
        <f>IFERROR(_xlfn.XLOOKUP($A698&amp;"",Hoja1!$C$2:$C$253,Hoja1!$D$2:$D$253),IFERROR(_xlfn.XLOOKUP($A698,'Sucursales Empleado'!$A$2:$A$236,'Sucursales Empleado'!$B$2:$B$236),""))</f>
        <v>Parmessano Santafe Bogota</v>
      </c>
    </row>
    <row r="699" spans="1:4" ht="20.100000000000001" hidden="1" customHeight="1" x14ac:dyDescent="0.45">
      <c r="A699" s="13">
        <v>5281103</v>
      </c>
      <c r="B699" s="11" t="s">
        <v>37</v>
      </c>
      <c r="C699" s="11" t="s">
        <v>473</v>
      </c>
      <c r="D699" s="11" t="str">
        <f>IFERROR(_xlfn.XLOOKUP($A699&amp;"",Hoja1!$C$2:$C$290,Hoja1!$D$2:$D$290),IFERROR(_xlfn.XLOOKUP($A699,'Sucursales Empleado'!$A$2:$A$265,'Sucursales Empleado'!$B$2:$B$265),""))</f>
        <v>Parmessano Santafe Bogota</v>
      </c>
    </row>
    <row r="700" spans="1:4" ht="20.100000000000001" hidden="1" customHeight="1" x14ac:dyDescent="0.45">
      <c r="A700" s="13">
        <v>5281103</v>
      </c>
      <c r="B700" s="11" t="s">
        <v>39</v>
      </c>
      <c r="C700" s="11" t="s">
        <v>473</v>
      </c>
      <c r="D700" s="11" t="str">
        <f>IFERROR(_xlfn.XLOOKUP($A700&amp;"",Hoja1!$C$2:$C$290,Hoja1!$D$2:$D$290),IFERROR(_xlfn.XLOOKUP($A700,'Sucursales Empleado'!$A$2:$A$265,'Sucursales Empleado'!$B$2:$B$265),""))</f>
        <v>Parmessano Santafe Bogota</v>
      </c>
    </row>
    <row r="701" spans="1:4" ht="20.100000000000001" hidden="1" customHeight="1" x14ac:dyDescent="0.45">
      <c r="A701" s="13">
        <v>5281103</v>
      </c>
      <c r="B701" s="11" t="s">
        <v>40</v>
      </c>
      <c r="C701" s="11" t="s">
        <v>473</v>
      </c>
      <c r="D701" s="11" t="str">
        <f>IFERROR(_xlfn.XLOOKUP($A701&amp;"",Hoja1!$C$2:$C$290,Hoja1!$D$2:$D$290),IFERROR(_xlfn.XLOOKUP($A701,'Sucursales Empleado'!$A$2:$A$265,'Sucursales Empleado'!$B$2:$B$265),""))</f>
        <v>Parmessano Santafe Bogota</v>
      </c>
    </row>
    <row r="702" spans="1:4" ht="20.100000000000001" hidden="1" customHeight="1" x14ac:dyDescent="0.45">
      <c r="A702" s="13">
        <v>5281103</v>
      </c>
      <c r="B702" s="11" t="s">
        <v>41</v>
      </c>
      <c r="C702" s="11" t="s">
        <v>473</v>
      </c>
      <c r="D702" s="11" t="str">
        <f>IFERROR(_xlfn.XLOOKUP($A702&amp;"",Hoja1!$C$2:$C$290,Hoja1!$D$2:$D$290),IFERROR(_xlfn.XLOOKUP($A702,'Sucursales Empleado'!$A$2:$A$265,'Sucursales Empleado'!$B$2:$B$265),""))</f>
        <v>Parmessano Santafe Bogota</v>
      </c>
    </row>
    <row r="703" spans="1:4" ht="20.100000000000001" hidden="1" customHeight="1" x14ac:dyDescent="0.45">
      <c r="A703" s="13">
        <v>5281103</v>
      </c>
      <c r="B703" s="11" t="s">
        <v>42</v>
      </c>
      <c r="C703" s="11" t="s">
        <v>473</v>
      </c>
      <c r="D703" s="11" t="str">
        <f>IFERROR(_xlfn.XLOOKUP($A703&amp;"",Hoja1!$C$2:$C$290,Hoja1!$D$2:$D$290),IFERROR(_xlfn.XLOOKUP($A703,'Sucursales Empleado'!$A$2:$A$265,'Sucursales Empleado'!$B$2:$B$265),""))</f>
        <v>Parmessano Santafe Bogota</v>
      </c>
    </row>
    <row r="704" spans="1:4" ht="20.100000000000001" hidden="1" customHeight="1" x14ac:dyDescent="0.45">
      <c r="A704" s="13">
        <v>5281103</v>
      </c>
      <c r="B704" s="11" t="s">
        <v>1251</v>
      </c>
      <c r="C704" s="11" t="s">
        <v>473</v>
      </c>
      <c r="D704" s="11" t="str">
        <f>IFERROR(_xlfn.XLOOKUP($A704&amp;"",Hoja1!$C$2:$C$290,Hoja1!$D$2:$D$290),IFERROR(_xlfn.XLOOKUP($A704,'Sucursales Empleado'!$A$2:$A$265,'Sucursales Empleado'!$B$2:$B$265),""))</f>
        <v>Parmessano Santafe Bogota</v>
      </c>
    </row>
    <row r="705" spans="1:4" ht="20.100000000000001" hidden="1" customHeight="1" x14ac:dyDescent="0.45">
      <c r="A705" s="13">
        <v>5281103</v>
      </c>
      <c r="B705" s="11" t="s">
        <v>44</v>
      </c>
      <c r="C705" s="11" t="s">
        <v>473</v>
      </c>
      <c r="D705" s="11" t="str">
        <f>IFERROR(_xlfn.XLOOKUP($A705&amp;"",Hoja1!$C$2:$C$290,Hoja1!$D$2:$D$290),IFERROR(_xlfn.XLOOKUP($A705,'Sucursales Empleado'!$A$2:$A$265,'Sucursales Empleado'!$B$2:$B$265),""))</f>
        <v>Parmessano Santafe Bogota</v>
      </c>
    </row>
    <row r="706" spans="1:4" ht="20.100000000000001" hidden="1" customHeight="1" x14ac:dyDescent="0.45">
      <c r="A706" s="13">
        <v>5281103</v>
      </c>
      <c r="B706" s="11" t="s">
        <v>45</v>
      </c>
      <c r="C706" s="11" t="s">
        <v>473</v>
      </c>
      <c r="D706" s="11" t="str">
        <f>IFERROR(_xlfn.XLOOKUP($A706&amp;"",Hoja1!$C$2:$C$290,Hoja1!$D$2:$D$290),IFERROR(_xlfn.XLOOKUP($A706,'Sucursales Empleado'!$A$2:$A$265,'Sucursales Empleado'!$B$2:$B$265),""))</f>
        <v>Parmessano Santafe Bogota</v>
      </c>
    </row>
    <row r="707" spans="1:4" ht="20.100000000000001" hidden="1" customHeight="1" x14ac:dyDescent="0.45">
      <c r="A707" s="13">
        <v>1023866150</v>
      </c>
      <c r="B707" s="11" t="s">
        <v>37</v>
      </c>
      <c r="C707" s="11" t="s">
        <v>471</v>
      </c>
      <c r="D707" s="11" t="str">
        <f>IFERROR(_xlfn.XLOOKUP($A707&amp;"",Hoja1!$C$2:$C$290,Hoja1!$D$2:$D$290),IFERROR(_xlfn.XLOOKUP($A707,'Sucursales Empleado'!$A$2:$A$265,'Sucursales Empleado'!$B$2:$B$265),""))</f>
        <v>Parmessano Santafe Bogota</v>
      </c>
    </row>
    <row r="708" spans="1:4" ht="20.100000000000001" hidden="1" customHeight="1" x14ac:dyDescent="0.45">
      <c r="A708" s="13">
        <v>1023866150</v>
      </c>
      <c r="B708" s="11" t="s">
        <v>39</v>
      </c>
      <c r="C708" s="11" t="s">
        <v>471</v>
      </c>
      <c r="D708" s="11" t="str">
        <f>IFERROR(_xlfn.XLOOKUP($A708&amp;"",Hoja1!$C$2:$C$290,Hoja1!$D$2:$D$290),IFERROR(_xlfn.XLOOKUP($A708,'Sucursales Empleado'!$A$2:$A$265,'Sucursales Empleado'!$B$2:$B$265),""))</f>
        <v>Parmessano Santafe Bogota</v>
      </c>
    </row>
    <row r="709" spans="1:4" ht="20.100000000000001" hidden="1" customHeight="1" x14ac:dyDescent="0.45">
      <c r="A709" s="13">
        <v>1023866150</v>
      </c>
      <c r="B709" s="11" t="s">
        <v>40</v>
      </c>
      <c r="C709" s="11" t="s">
        <v>471</v>
      </c>
      <c r="D709" s="11" t="str">
        <f>IFERROR(_xlfn.XLOOKUP($A709&amp;"",Hoja1!$C$2:$C$290,Hoja1!$D$2:$D$290),IFERROR(_xlfn.XLOOKUP($A709,'Sucursales Empleado'!$A$2:$A$265,'Sucursales Empleado'!$B$2:$B$265),""))</f>
        <v>Parmessano Santafe Bogota</v>
      </c>
    </row>
    <row r="710" spans="1:4" ht="20.100000000000001" hidden="1" customHeight="1" x14ac:dyDescent="0.45">
      <c r="A710" s="13">
        <v>1023866150</v>
      </c>
      <c r="B710" s="11" t="s">
        <v>41</v>
      </c>
      <c r="C710" s="11" t="s">
        <v>471</v>
      </c>
      <c r="D710" s="11" t="str">
        <f>IFERROR(_xlfn.XLOOKUP($A710&amp;"",Hoja1!$C$2:$C$290,Hoja1!$D$2:$D$290),IFERROR(_xlfn.XLOOKUP($A710,'Sucursales Empleado'!$A$2:$A$265,'Sucursales Empleado'!$B$2:$B$265),""))</f>
        <v>Parmessano Santafe Bogota</v>
      </c>
    </row>
    <row r="711" spans="1:4" ht="20.100000000000001" hidden="1" customHeight="1" x14ac:dyDescent="0.45">
      <c r="A711" s="13">
        <v>1023866150</v>
      </c>
      <c r="B711" s="11" t="s">
        <v>42</v>
      </c>
      <c r="C711" s="11" t="s">
        <v>471</v>
      </c>
      <c r="D711" s="11" t="str">
        <f>IFERROR(_xlfn.XLOOKUP($A711&amp;"",Hoja1!$C$2:$C$290,Hoja1!$D$2:$D$290),IFERROR(_xlfn.XLOOKUP($A711,'Sucursales Empleado'!$A$2:$A$265,'Sucursales Empleado'!$B$2:$B$265),""))</f>
        <v>Parmessano Santafe Bogota</v>
      </c>
    </row>
    <row r="712" spans="1:4" ht="20.100000000000001" hidden="1" customHeight="1" x14ac:dyDescent="0.45">
      <c r="A712" s="13">
        <v>1023866150</v>
      </c>
      <c r="B712" s="11" t="s">
        <v>1251</v>
      </c>
      <c r="C712" s="11" t="s">
        <v>471</v>
      </c>
      <c r="D712" s="11" t="str">
        <f>IFERROR(_xlfn.XLOOKUP($A712&amp;"",Hoja1!$C$2:$C$290,Hoja1!$D$2:$D$290),IFERROR(_xlfn.XLOOKUP($A712,'Sucursales Empleado'!$A$2:$A$265,'Sucursales Empleado'!$B$2:$B$265),""))</f>
        <v>Parmessano Santafe Bogota</v>
      </c>
    </row>
    <row r="713" spans="1:4" ht="20.100000000000001" hidden="1" customHeight="1" x14ac:dyDescent="0.45">
      <c r="A713" s="13">
        <v>1023866150</v>
      </c>
      <c r="B713" s="11" t="s">
        <v>44</v>
      </c>
      <c r="C713" s="11" t="s">
        <v>471</v>
      </c>
      <c r="D713" s="11" t="str">
        <f>IFERROR(_xlfn.XLOOKUP($A713&amp;"",Hoja1!$C$2:$C$290,Hoja1!$D$2:$D$290),IFERROR(_xlfn.XLOOKUP($A713,'Sucursales Empleado'!$A$2:$A$265,'Sucursales Empleado'!$B$2:$B$265),""))</f>
        <v>Parmessano Santafe Bogota</v>
      </c>
    </row>
    <row r="714" spans="1:4" ht="20.100000000000001" hidden="1" customHeight="1" x14ac:dyDescent="0.45">
      <c r="A714" s="13">
        <v>1023866150</v>
      </c>
      <c r="B714" s="11" t="s">
        <v>45</v>
      </c>
      <c r="C714" s="11" t="s">
        <v>471</v>
      </c>
      <c r="D714" s="11" t="str">
        <f>IFERROR(_xlfn.XLOOKUP($A714&amp;"",Hoja1!$C$2:$C$290,Hoja1!$D$2:$D$290),IFERROR(_xlfn.XLOOKUP($A714,'Sucursales Empleado'!$A$2:$A$265,'Sucursales Empleado'!$B$2:$B$265),""))</f>
        <v>Parmessano Santafe Bogota</v>
      </c>
    </row>
    <row r="715" spans="1:4" ht="20.100000000000001" hidden="1" customHeight="1" x14ac:dyDescent="0.45">
      <c r="A715" s="13">
        <v>1016951541</v>
      </c>
      <c r="B715" s="11" t="s">
        <v>37</v>
      </c>
      <c r="C715" s="11" t="s">
        <v>471</v>
      </c>
      <c r="D715" s="11" t="str">
        <f>IFERROR(_xlfn.XLOOKUP($A715&amp;"",Hoja1!$C$2:$C$290,Hoja1!$D$2:$D$290),IFERROR(_xlfn.XLOOKUP($A715,'Sucursales Empleado'!$A$2:$A$265,'Sucursales Empleado'!$B$2:$B$265),""))</f>
        <v>Parmessano Santafe Bogota</v>
      </c>
    </row>
    <row r="716" spans="1:4" ht="20.100000000000001" hidden="1" customHeight="1" x14ac:dyDescent="0.45">
      <c r="A716" s="13">
        <v>1016951541</v>
      </c>
      <c r="B716" s="11" t="s">
        <v>39</v>
      </c>
      <c r="C716" s="11" t="s">
        <v>471</v>
      </c>
      <c r="D716" s="11" t="str">
        <f>IFERROR(_xlfn.XLOOKUP($A716&amp;"",Hoja1!$C$2:$C$290,Hoja1!$D$2:$D$290),IFERROR(_xlfn.XLOOKUP($A716,'Sucursales Empleado'!$A$2:$A$265,'Sucursales Empleado'!$B$2:$B$265),""))</f>
        <v>Parmessano Santafe Bogota</v>
      </c>
    </row>
    <row r="717" spans="1:4" ht="20.100000000000001" hidden="1" customHeight="1" x14ac:dyDescent="0.45">
      <c r="A717" s="13">
        <v>1016951541</v>
      </c>
      <c r="B717" s="11" t="s">
        <v>40</v>
      </c>
      <c r="C717" s="11" t="s">
        <v>471</v>
      </c>
      <c r="D717" s="11" t="str">
        <f>IFERROR(_xlfn.XLOOKUP($A717&amp;"",Hoja1!$C$2:$C$290,Hoja1!$D$2:$D$290),IFERROR(_xlfn.XLOOKUP($A717,'Sucursales Empleado'!$A$2:$A$265,'Sucursales Empleado'!$B$2:$B$265),""))</f>
        <v>Parmessano Santafe Bogota</v>
      </c>
    </row>
    <row r="718" spans="1:4" ht="20.100000000000001" hidden="1" customHeight="1" x14ac:dyDescent="0.45">
      <c r="A718" s="13">
        <v>1016951541</v>
      </c>
      <c r="B718" s="11" t="s">
        <v>41</v>
      </c>
      <c r="C718" s="11" t="s">
        <v>471</v>
      </c>
      <c r="D718" s="11" t="str">
        <f>IFERROR(_xlfn.XLOOKUP($A718&amp;"",Hoja1!$C$2:$C$290,Hoja1!$D$2:$D$290),IFERROR(_xlfn.XLOOKUP($A718,'Sucursales Empleado'!$A$2:$A$265,'Sucursales Empleado'!$B$2:$B$265),""))</f>
        <v>Parmessano Santafe Bogota</v>
      </c>
    </row>
    <row r="719" spans="1:4" ht="20.100000000000001" hidden="1" customHeight="1" x14ac:dyDescent="0.45">
      <c r="A719" s="13">
        <v>1016951541</v>
      </c>
      <c r="B719" s="11" t="s">
        <v>42</v>
      </c>
      <c r="C719" s="11" t="s">
        <v>471</v>
      </c>
      <c r="D719" s="11" t="str">
        <f>IFERROR(_xlfn.XLOOKUP($A719&amp;"",Hoja1!$C$2:$C$290,Hoja1!$D$2:$D$290),IFERROR(_xlfn.XLOOKUP($A719,'Sucursales Empleado'!$A$2:$A$265,'Sucursales Empleado'!$B$2:$B$265),""))</f>
        <v>Parmessano Santafe Bogota</v>
      </c>
    </row>
    <row r="720" spans="1:4" ht="20.100000000000001" hidden="1" customHeight="1" x14ac:dyDescent="0.45">
      <c r="A720" s="13">
        <v>1016951541</v>
      </c>
      <c r="B720" s="11" t="s">
        <v>1251</v>
      </c>
      <c r="C720" s="11" t="s">
        <v>471</v>
      </c>
      <c r="D720" s="11" t="str">
        <f>IFERROR(_xlfn.XLOOKUP($A720&amp;"",Hoja1!$C$2:$C$290,Hoja1!$D$2:$D$290),IFERROR(_xlfn.XLOOKUP($A720,'Sucursales Empleado'!$A$2:$A$265,'Sucursales Empleado'!$B$2:$B$265),""))</f>
        <v>Parmessano Santafe Bogota</v>
      </c>
    </row>
    <row r="721" spans="1:4" ht="20.100000000000001" hidden="1" customHeight="1" x14ac:dyDescent="0.45">
      <c r="A721" s="13">
        <v>1016951541</v>
      </c>
      <c r="B721" s="11" t="s">
        <v>44</v>
      </c>
      <c r="C721" s="11" t="s">
        <v>471</v>
      </c>
      <c r="D721" s="11" t="str">
        <f>IFERROR(_xlfn.XLOOKUP($A721&amp;"",Hoja1!$C$2:$C$290,Hoja1!$D$2:$D$290),IFERROR(_xlfn.XLOOKUP($A721,'Sucursales Empleado'!$A$2:$A$265,'Sucursales Empleado'!$B$2:$B$265),""))</f>
        <v>Parmessano Santafe Bogota</v>
      </c>
    </row>
    <row r="722" spans="1:4" ht="20.100000000000001" hidden="1" customHeight="1" x14ac:dyDescent="0.45">
      <c r="A722" s="13">
        <v>1016951541</v>
      </c>
      <c r="B722" s="11" t="s">
        <v>45</v>
      </c>
      <c r="C722" s="11" t="s">
        <v>471</v>
      </c>
      <c r="D722" s="11" t="str">
        <f>IFERROR(_xlfn.XLOOKUP($A722&amp;"",Hoja1!$C$2:$C$290,Hoja1!$D$2:$D$290),IFERROR(_xlfn.XLOOKUP($A722,'Sucursales Empleado'!$A$2:$A$265,'Sucursales Empleado'!$B$2:$B$265),""))</f>
        <v>Parmessano Santafe Bogota</v>
      </c>
    </row>
    <row r="723" spans="1:4" ht="20.100000000000001" hidden="1" customHeight="1" x14ac:dyDescent="0.45">
      <c r="A723" s="13">
        <v>1193045595</v>
      </c>
      <c r="B723" s="2" t="s">
        <v>53</v>
      </c>
      <c r="C723" s="11" t="s">
        <v>471</v>
      </c>
      <c r="D723" s="11" t="str">
        <f>IFERROR(_xlfn.XLOOKUP($A723&amp;"",Hoja1!$C$2:$C$290,Hoja1!$D$2:$D$290),IFERROR(_xlfn.XLOOKUP($A723,'Sucursales Empleado'!$A$2:$A$265,'Sucursales Empleado'!$B$2:$B$265),""))</f>
        <v>Parmessano Santafe Bogota</v>
      </c>
    </row>
    <row r="724" spans="1:4" ht="20.100000000000001" customHeight="1" x14ac:dyDescent="0.45">
      <c r="A724" s="13">
        <v>1193045595</v>
      </c>
      <c r="B724" s="11" t="s">
        <v>1252</v>
      </c>
      <c r="C724" s="11" t="s">
        <v>471</v>
      </c>
      <c r="D724" s="11" t="str">
        <f>IFERROR(_xlfn.XLOOKUP($A724&amp;"",Hoja1!$C$2:$C$290,Hoja1!$D$2:$D$290),IFERROR(_xlfn.XLOOKUP($A724,'Sucursales Empleado'!$A$2:$A$265,'Sucursales Empleado'!$B$2:$B$265),""))</f>
        <v>Parmessano Santafe Bogota</v>
      </c>
    </row>
    <row r="725" spans="1:4" ht="20.100000000000001" hidden="1" customHeight="1" x14ac:dyDescent="0.45">
      <c r="A725" s="13">
        <v>1193045595</v>
      </c>
      <c r="B725" s="11" t="s">
        <v>1253</v>
      </c>
      <c r="C725" s="11" t="s">
        <v>471</v>
      </c>
      <c r="D725" s="11" t="str">
        <f>IFERROR(_xlfn.XLOOKUP($A725&amp;"",Hoja1!$C$2:$C$290,Hoja1!$D$2:$D$290),IFERROR(_xlfn.XLOOKUP($A725,'Sucursales Empleado'!$A$2:$A$265,'Sucursales Empleado'!$B$2:$B$265),""))</f>
        <v>Parmessano Santafe Bogota</v>
      </c>
    </row>
    <row r="726" spans="1:4" hidden="1" x14ac:dyDescent="0.45">
      <c r="A726" s="13">
        <v>1193045595</v>
      </c>
      <c r="B726" s="11" t="s">
        <v>47</v>
      </c>
      <c r="C726" s="11" t="s">
        <v>471</v>
      </c>
      <c r="D726" s="11" t="str">
        <f>IFERROR(_xlfn.XLOOKUP($A726&amp;"",Hoja1!$C$2:$C$290,Hoja1!$D$2:$D$290),IFERROR(_xlfn.XLOOKUP($A726,'Sucursales Empleado'!$A$2:$A$265,'Sucursales Empleado'!$B$2:$B$265),""))</f>
        <v>Parmessano Santafe Bogota</v>
      </c>
    </row>
    <row r="727" spans="1:4" hidden="1" x14ac:dyDescent="0.45">
      <c r="A727" s="13">
        <v>1193045595</v>
      </c>
      <c r="B727" s="11" t="s">
        <v>48</v>
      </c>
      <c r="C727" s="11" t="s">
        <v>471</v>
      </c>
      <c r="D727" s="11" t="str">
        <f>IFERROR(_xlfn.XLOOKUP($A727&amp;"",Hoja1!$C$2:$C$290,Hoja1!$D$2:$D$290),IFERROR(_xlfn.XLOOKUP($A727,'Sucursales Empleado'!$A$2:$A$265,'Sucursales Empleado'!$B$2:$B$265),""))</f>
        <v>Parmessano Santafe Bogota</v>
      </c>
    </row>
    <row r="728" spans="1:4" hidden="1" x14ac:dyDescent="0.45">
      <c r="A728" s="13">
        <v>1014206594</v>
      </c>
      <c r="B728" s="2" t="s">
        <v>53</v>
      </c>
      <c r="C728" s="11" t="s">
        <v>471</v>
      </c>
      <c r="D728" s="11" t="str">
        <f>IFERROR(_xlfn.XLOOKUP($A728&amp;"",Hoja1!$C$2:$C$290,Hoja1!$D$2:$D$290),IFERROR(_xlfn.XLOOKUP($A728,'Sucursales Empleado'!$A$2:$A$265,'Sucursales Empleado'!$B$2:$B$265),""))</f>
        <v>Parmessano Santafe Bogota</v>
      </c>
    </row>
    <row r="729" spans="1:4" x14ac:dyDescent="0.45">
      <c r="A729" s="13">
        <v>1014206594</v>
      </c>
      <c r="B729" s="11" t="s">
        <v>1252</v>
      </c>
      <c r="C729" s="11" t="s">
        <v>471</v>
      </c>
      <c r="D729" s="11" t="str">
        <f>IFERROR(_xlfn.XLOOKUP($A729&amp;"",Hoja1!$C$2:$C$290,Hoja1!$D$2:$D$290),IFERROR(_xlfn.XLOOKUP($A729,'Sucursales Empleado'!$A$2:$A$265,'Sucursales Empleado'!$B$2:$B$265),""))</f>
        <v>Parmessano Santafe Bogota</v>
      </c>
    </row>
    <row r="730" spans="1:4" hidden="1" x14ac:dyDescent="0.45">
      <c r="A730" s="13">
        <v>1014206594</v>
      </c>
      <c r="B730" s="11" t="s">
        <v>1254</v>
      </c>
      <c r="C730" s="11" t="s">
        <v>471</v>
      </c>
      <c r="D730" s="11" t="str">
        <f>IFERROR(_xlfn.XLOOKUP($A730&amp;"",Hoja1!$C$2:$C$290,Hoja1!$D$2:$D$290),IFERROR(_xlfn.XLOOKUP($A730,'Sucursales Empleado'!$A$2:$A$265,'Sucursales Empleado'!$B$2:$B$265),""))</f>
        <v>Parmessano Santafe Bogota</v>
      </c>
    </row>
    <row r="731" spans="1:4" hidden="1" x14ac:dyDescent="0.45">
      <c r="A731" s="13">
        <v>1014206594</v>
      </c>
      <c r="B731" s="11" t="s">
        <v>50</v>
      </c>
      <c r="C731" s="11" t="s">
        <v>471</v>
      </c>
      <c r="D731" s="11" t="str">
        <f>IFERROR(_xlfn.XLOOKUP($A731&amp;"",Hoja1!$C$2:$C$290,Hoja1!$D$2:$D$290),IFERROR(_xlfn.XLOOKUP($A731,'Sucursales Empleado'!$A$2:$A$265,'Sucursales Empleado'!$B$2:$B$265),""))</f>
        <v>Parmessano Santafe Bogota</v>
      </c>
    </row>
    <row r="732" spans="1:4" hidden="1" x14ac:dyDescent="0.45">
      <c r="A732" s="13">
        <v>1014206594</v>
      </c>
      <c r="B732" s="11" t="s">
        <v>51</v>
      </c>
      <c r="C732" s="11" t="s">
        <v>471</v>
      </c>
      <c r="D732" s="11" t="str">
        <f>IFERROR(_xlfn.XLOOKUP($A732&amp;"",Hoja1!$C$2:$C$290,Hoja1!$D$2:$D$290),IFERROR(_xlfn.XLOOKUP($A732,'Sucursales Empleado'!$A$2:$A$265,'Sucursales Empleado'!$B$2:$B$265),""))</f>
        <v>Parmessano Santafe Bogota</v>
      </c>
    </row>
    <row r="733" spans="1:4" hidden="1" x14ac:dyDescent="0.45">
      <c r="A733" s="13">
        <v>1122649359</v>
      </c>
      <c r="B733" s="2" t="s">
        <v>53</v>
      </c>
      <c r="C733" s="11" t="s">
        <v>471</v>
      </c>
      <c r="D733" s="11" t="str">
        <f>IFERROR(_xlfn.XLOOKUP($A733&amp;"",Hoja1!$C$2:$C$290,Hoja1!$D$2:$D$290),IFERROR(_xlfn.XLOOKUP($A733,'Sucursales Empleado'!$A$2:$A$265,'Sucursales Empleado'!$B$2:$B$265),""))</f>
        <v>Parmessano Santafe Bogota</v>
      </c>
    </row>
    <row r="734" spans="1:4" x14ac:dyDescent="0.45">
      <c r="A734" s="13">
        <v>1122649359</v>
      </c>
      <c r="B734" s="11" t="s">
        <v>1252</v>
      </c>
      <c r="C734" s="11" t="s">
        <v>471</v>
      </c>
      <c r="D734" s="11" t="str">
        <f>IFERROR(_xlfn.XLOOKUP($A734&amp;"",Hoja1!$C$2:$C$290,Hoja1!$D$2:$D$290),IFERROR(_xlfn.XLOOKUP($A734,'Sucursales Empleado'!$A$2:$A$265,'Sucursales Empleado'!$B$2:$B$265),""))</f>
        <v>Parmessano Santafe Bogota</v>
      </c>
    </row>
    <row r="735" spans="1:4" hidden="1" x14ac:dyDescent="0.45">
      <c r="A735" s="13">
        <v>1122649359</v>
      </c>
      <c r="B735" s="11" t="s">
        <v>1254</v>
      </c>
      <c r="C735" s="11" t="s">
        <v>471</v>
      </c>
      <c r="D735" s="11" t="str">
        <f>IFERROR(_xlfn.XLOOKUP($A735&amp;"",Hoja1!$C$2:$C$290,Hoja1!$D$2:$D$290),IFERROR(_xlfn.XLOOKUP($A735,'Sucursales Empleado'!$A$2:$A$265,'Sucursales Empleado'!$B$2:$B$265),""))</f>
        <v>Parmessano Santafe Bogota</v>
      </c>
    </row>
    <row r="736" spans="1:4" hidden="1" x14ac:dyDescent="0.45">
      <c r="A736" s="13">
        <v>1122649359</v>
      </c>
      <c r="B736" s="11" t="s">
        <v>50</v>
      </c>
      <c r="C736" s="11" t="s">
        <v>471</v>
      </c>
      <c r="D736" s="11" t="str">
        <f>IFERROR(_xlfn.XLOOKUP($A736&amp;"",Hoja1!$C$2:$C$290,Hoja1!$D$2:$D$290),IFERROR(_xlfn.XLOOKUP($A736,'Sucursales Empleado'!$A$2:$A$265,'Sucursales Empleado'!$B$2:$B$265),""))</f>
        <v>Parmessano Santafe Bogota</v>
      </c>
    </row>
    <row r="737" spans="1:4" hidden="1" x14ac:dyDescent="0.45">
      <c r="A737" s="13">
        <v>1122649359</v>
      </c>
      <c r="B737" s="11" t="s">
        <v>51</v>
      </c>
      <c r="C737" s="11" t="s">
        <v>471</v>
      </c>
      <c r="D737" s="11" t="str">
        <f>IFERROR(_xlfn.XLOOKUP($A737&amp;"",Hoja1!$C$2:$C$290,Hoja1!$D$2:$D$290),IFERROR(_xlfn.XLOOKUP($A737,'Sucursales Empleado'!$A$2:$A$265,'Sucursales Empleado'!$B$2:$B$265),""))</f>
        <v>Parmessano Santafe Bogota</v>
      </c>
    </row>
    <row r="738" spans="1:4" hidden="1" x14ac:dyDescent="0.45">
      <c r="A738" s="13">
        <v>72303517</v>
      </c>
      <c r="B738" s="2" t="s">
        <v>53</v>
      </c>
      <c r="C738" s="11" t="s">
        <v>471</v>
      </c>
      <c r="D738" s="11" t="str">
        <f>IFERROR(_xlfn.XLOOKUP($A738&amp;"",Hoja1!$C$2:$C$290,Hoja1!$D$2:$D$290),IFERROR(_xlfn.XLOOKUP($A738,'Sucursales Empleado'!$A$2:$A$265,'Sucursales Empleado'!$B$2:$B$265),""))</f>
        <v>Parmessano Santafe Bogota</v>
      </c>
    </row>
    <row r="739" spans="1:4" x14ac:dyDescent="0.45">
      <c r="A739" s="13">
        <v>72303517</v>
      </c>
      <c r="B739" s="11" t="s">
        <v>1252</v>
      </c>
      <c r="C739" s="11" t="s">
        <v>471</v>
      </c>
      <c r="D739" s="11" t="str">
        <f>IFERROR(_xlfn.XLOOKUP($A739&amp;"",Hoja1!$C$2:$C$290,Hoja1!$D$2:$D$290),IFERROR(_xlfn.XLOOKUP($A739,'Sucursales Empleado'!$A$2:$A$265,'Sucursales Empleado'!$B$2:$B$265),""))</f>
        <v>Parmessano Santafe Bogota</v>
      </c>
    </row>
    <row r="740" spans="1:4" hidden="1" x14ac:dyDescent="0.45">
      <c r="A740" s="13">
        <v>72303517</v>
      </c>
      <c r="B740" s="11" t="s">
        <v>1254</v>
      </c>
      <c r="C740" s="11" t="s">
        <v>471</v>
      </c>
      <c r="D740" s="11" t="str">
        <f>IFERROR(_xlfn.XLOOKUP($A740&amp;"",Hoja1!$C$2:$C$290,Hoja1!$D$2:$D$290),IFERROR(_xlfn.XLOOKUP($A740,'Sucursales Empleado'!$A$2:$A$265,'Sucursales Empleado'!$B$2:$B$265),""))</f>
        <v>Parmessano Santafe Bogota</v>
      </c>
    </row>
    <row r="741" spans="1:4" hidden="1" x14ac:dyDescent="0.45">
      <c r="A741" s="13">
        <v>72303517</v>
      </c>
      <c r="B741" s="11" t="s">
        <v>50</v>
      </c>
      <c r="C741" s="11" t="s">
        <v>471</v>
      </c>
      <c r="D741" s="11" t="str">
        <f>IFERROR(_xlfn.XLOOKUP($A741&amp;"",Hoja1!$C$2:$C$290,Hoja1!$D$2:$D$290),IFERROR(_xlfn.XLOOKUP($A741,'Sucursales Empleado'!$A$2:$A$265,'Sucursales Empleado'!$B$2:$B$265),""))</f>
        <v>Parmessano Santafe Bogota</v>
      </c>
    </row>
    <row r="742" spans="1:4" hidden="1" x14ac:dyDescent="0.45">
      <c r="A742" s="13">
        <v>72303517</v>
      </c>
      <c r="B742" s="11" t="s">
        <v>51</v>
      </c>
      <c r="C742" s="11" t="s">
        <v>471</v>
      </c>
      <c r="D742" s="11" t="str">
        <f>IFERROR(_xlfn.XLOOKUP($A742&amp;"",Hoja1!$C$2:$C$290,Hoja1!$D$2:$D$290),IFERROR(_xlfn.XLOOKUP($A742,'Sucursales Empleado'!$A$2:$A$265,'Sucursales Empleado'!$B$2:$B$265),""))</f>
        <v>Parmessano Santafe Bogota</v>
      </c>
    </row>
    <row r="743" spans="1:4" hidden="1" x14ac:dyDescent="0.45">
      <c r="A743" s="13">
        <v>1031812916</v>
      </c>
      <c r="B743" s="11" t="s">
        <v>37</v>
      </c>
      <c r="C743" s="11" t="s">
        <v>471</v>
      </c>
      <c r="D743" s="11" t="str">
        <f>IFERROR(_xlfn.XLOOKUP($A743&amp;"",Hoja1!$C$2:$C$290,Hoja1!$D$2:$D$290),IFERROR(_xlfn.XLOOKUP($A743,'Sucursales Empleado'!$A$2:$A$265,'Sucursales Empleado'!$B$2:$B$265),""))</f>
        <v>Parmessano Santafe Bogota</v>
      </c>
    </row>
    <row r="744" spans="1:4" hidden="1" x14ac:dyDescent="0.45">
      <c r="A744" s="13">
        <v>1031812916</v>
      </c>
      <c r="B744" s="11" t="s">
        <v>39</v>
      </c>
      <c r="C744" s="11" t="s">
        <v>471</v>
      </c>
      <c r="D744" s="11" t="str">
        <f>IFERROR(_xlfn.XLOOKUP($A744&amp;"",Hoja1!$C$2:$C$290,Hoja1!$D$2:$D$290),IFERROR(_xlfn.XLOOKUP($A744,'Sucursales Empleado'!$A$2:$A$265,'Sucursales Empleado'!$B$2:$B$265),""))</f>
        <v>Parmessano Santafe Bogota</v>
      </c>
    </row>
    <row r="745" spans="1:4" hidden="1" x14ac:dyDescent="0.45">
      <c r="A745" s="13">
        <v>1031812916</v>
      </c>
      <c r="B745" s="11" t="s">
        <v>40</v>
      </c>
      <c r="C745" s="11" t="s">
        <v>471</v>
      </c>
      <c r="D745" s="11" t="str">
        <f>IFERROR(_xlfn.XLOOKUP($A745&amp;"",Hoja1!$C$2:$C$290,Hoja1!$D$2:$D$290),IFERROR(_xlfn.XLOOKUP($A745,'Sucursales Empleado'!$A$2:$A$265,'Sucursales Empleado'!$B$2:$B$265),""))</f>
        <v>Parmessano Santafe Bogota</v>
      </c>
    </row>
    <row r="746" spans="1:4" hidden="1" x14ac:dyDescent="0.45">
      <c r="A746" s="13">
        <v>1031812916</v>
      </c>
      <c r="B746" s="11" t="s">
        <v>41</v>
      </c>
      <c r="C746" s="11" t="s">
        <v>471</v>
      </c>
      <c r="D746" s="11" t="str">
        <f>IFERROR(_xlfn.XLOOKUP($A746&amp;"",Hoja1!$C$2:$C$290,Hoja1!$D$2:$D$290),IFERROR(_xlfn.XLOOKUP($A746,'Sucursales Empleado'!$A$2:$A$265,'Sucursales Empleado'!$B$2:$B$265),""))</f>
        <v>Parmessano Santafe Bogota</v>
      </c>
    </row>
    <row r="747" spans="1:4" hidden="1" x14ac:dyDescent="0.45">
      <c r="A747" s="13">
        <v>1031812916</v>
      </c>
      <c r="B747" s="11" t="s">
        <v>42</v>
      </c>
      <c r="C747" s="11" t="s">
        <v>471</v>
      </c>
      <c r="D747" s="11" t="str">
        <f>IFERROR(_xlfn.XLOOKUP($A747&amp;"",Hoja1!$C$2:$C$290,Hoja1!$D$2:$D$290),IFERROR(_xlfn.XLOOKUP($A747,'Sucursales Empleado'!$A$2:$A$265,'Sucursales Empleado'!$B$2:$B$265),""))</f>
        <v>Parmessano Santafe Bogota</v>
      </c>
    </row>
    <row r="748" spans="1:4" hidden="1" x14ac:dyDescent="0.45">
      <c r="A748" s="13">
        <v>1031812916</v>
      </c>
      <c r="B748" s="11" t="s">
        <v>1251</v>
      </c>
      <c r="C748" s="11" t="s">
        <v>471</v>
      </c>
      <c r="D748" s="11" t="str">
        <f>IFERROR(_xlfn.XLOOKUP($A748&amp;"",Hoja1!$C$2:$C$290,Hoja1!$D$2:$D$290),IFERROR(_xlfn.XLOOKUP($A748,'Sucursales Empleado'!$A$2:$A$265,'Sucursales Empleado'!$B$2:$B$265),""))</f>
        <v>Parmessano Santafe Bogota</v>
      </c>
    </row>
    <row r="749" spans="1:4" hidden="1" x14ac:dyDescent="0.45">
      <c r="A749" s="13">
        <v>1031812916</v>
      </c>
      <c r="B749" s="11" t="s">
        <v>44</v>
      </c>
      <c r="C749" s="11" t="s">
        <v>471</v>
      </c>
      <c r="D749" s="11" t="str">
        <f>IFERROR(_xlfn.XLOOKUP($A749&amp;"",Hoja1!$C$2:$C$290,Hoja1!$D$2:$D$290),IFERROR(_xlfn.XLOOKUP($A749,'Sucursales Empleado'!$A$2:$A$265,'Sucursales Empleado'!$B$2:$B$265),""))</f>
        <v>Parmessano Santafe Bogota</v>
      </c>
    </row>
    <row r="750" spans="1:4" hidden="1" x14ac:dyDescent="0.45">
      <c r="A750" s="13">
        <v>1031812916</v>
      </c>
      <c r="B750" s="11" t="s">
        <v>45</v>
      </c>
      <c r="C750" s="11" t="s">
        <v>471</v>
      </c>
      <c r="D750" s="11" t="str">
        <f>IFERROR(_xlfn.XLOOKUP($A750&amp;"",Hoja1!$C$2:$C$290,Hoja1!$D$2:$D$290),IFERROR(_xlfn.XLOOKUP($A750,'Sucursales Empleado'!$A$2:$A$265,'Sucursales Empleado'!$B$2:$B$265),""))</f>
        <v>Parmessano Santafe Bogota</v>
      </c>
    </row>
    <row r="751" spans="1:4" hidden="1" x14ac:dyDescent="0.45">
      <c r="A751" s="13">
        <v>79171343</v>
      </c>
      <c r="B751" s="11" t="s">
        <v>37</v>
      </c>
      <c r="C751" s="11" t="s">
        <v>471</v>
      </c>
      <c r="D751" s="11" t="str">
        <f>IFERROR(_xlfn.XLOOKUP($A751&amp;"",Hoja1!$C$2:$C$290,Hoja1!$D$2:$D$290),IFERROR(_xlfn.XLOOKUP($A751,'Sucursales Empleado'!$A$2:$A$265,'Sucursales Empleado'!$B$2:$B$265),""))</f>
        <v>Parmessano Santafe Bogota</v>
      </c>
    </row>
    <row r="752" spans="1:4" hidden="1" x14ac:dyDescent="0.45">
      <c r="A752" s="13">
        <v>79171343</v>
      </c>
      <c r="B752" s="11" t="s">
        <v>39</v>
      </c>
      <c r="C752" s="11" t="s">
        <v>471</v>
      </c>
      <c r="D752" s="11" t="str">
        <f>IFERROR(_xlfn.XLOOKUP($A752&amp;"",Hoja1!$C$2:$C$290,Hoja1!$D$2:$D$290),IFERROR(_xlfn.XLOOKUP($A752,'Sucursales Empleado'!$A$2:$A$265,'Sucursales Empleado'!$B$2:$B$265),""))</f>
        <v>Parmessano Santafe Bogota</v>
      </c>
    </row>
    <row r="753" spans="1:4" hidden="1" x14ac:dyDescent="0.45">
      <c r="A753" s="13">
        <v>79171343</v>
      </c>
      <c r="B753" s="11" t="s">
        <v>40</v>
      </c>
      <c r="C753" s="11" t="s">
        <v>471</v>
      </c>
      <c r="D753" s="11" t="str">
        <f>IFERROR(_xlfn.XLOOKUP($A753&amp;"",Hoja1!$C$2:$C$290,Hoja1!$D$2:$D$290),IFERROR(_xlfn.XLOOKUP($A753,'Sucursales Empleado'!$A$2:$A$265,'Sucursales Empleado'!$B$2:$B$265),""))</f>
        <v>Parmessano Santafe Bogota</v>
      </c>
    </row>
    <row r="754" spans="1:4" hidden="1" x14ac:dyDescent="0.45">
      <c r="A754" s="13">
        <v>79171343</v>
      </c>
      <c r="B754" s="11" t="s">
        <v>41</v>
      </c>
      <c r="C754" s="11" t="s">
        <v>471</v>
      </c>
      <c r="D754" s="11" t="str">
        <f>IFERROR(_xlfn.XLOOKUP($A754&amp;"",Hoja1!$C$2:$C$290,Hoja1!$D$2:$D$290),IFERROR(_xlfn.XLOOKUP($A754,'Sucursales Empleado'!$A$2:$A$265,'Sucursales Empleado'!$B$2:$B$265),""))</f>
        <v>Parmessano Santafe Bogota</v>
      </c>
    </row>
    <row r="755" spans="1:4" hidden="1" x14ac:dyDescent="0.45">
      <c r="A755" s="13">
        <v>79171343</v>
      </c>
      <c r="B755" s="11" t="s">
        <v>42</v>
      </c>
      <c r="C755" s="11" t="s">
        <v>471</v>
      </c>
      <c r="D755" s="11" t="str">
        <f>IFERROR(_xlfn.XLOOKUP($A755&amp;"",Hoja1!$C$2:$C$290,Hoja1!$D$2:$D$290),IFERROR(_xlfn.XLOOKUP($A755,'Sucursales Empleado'!$A$2:$A$265,'Sucursales Empleado'!$B$2:$B$265),""))</f>
        <v>Parmessano Santafe Bogota</v>
      </c>
    </row>
    <row r="756" spans="1:4" hidden="1" x14ac:dyDescent="0.45">
      <c r="A756" s="13">
        <v>79171343</v>
      </c>
      <c r="B756" s="11" t="s">
        <v>1251</v>
      </c>
      <c r="C756" s="11" t="s">
        <v>471</v>
      </c>
      <c r="D756" s="11" t="str">
        <f>IFERROR(_xlfn.XLOOKUP($A756&amp;"",Hoja1!$C$2:$C$290,Hoja1!$D$2:$D$290),IFERROR(_xlfn.XLOOKUP($A756,'Sucursales Empleado'!$A$2:$A$265,'Sucursales Empleado'!$B$2:$B$265),""))</f>
        <v>Parmessano Santafe Bogota</v>
      </c>
    </row>
    <row r="757" spans="1:4" hidden="1" x14ac:dyDescent="0.45">
      <c r="A757" s="13">
        <v>79171343</v>
      </c>
      <c r="B757" s="11" t="s">
        <v>44</v>
      </c>
      <c r="C757" s="11" t="s">
        <v>471</v>
      </c>
      <c r="D757" s="11" t="str">
        <f>IFERROR(_xlfn.XLOOKUP($A757&amp;"",Hoja1!$C$2:$C$290,Hoja1!$D$2:$D$290),IFERROR(_xlfn.XLOOKUP($A757,'Sucursales Empleado'!$A$2:$A$265,'Sucursales Empleado'!$B$2:$B$265),""))</f>
        <v>Parmessano Santafe Bogota</v>
      </c>
    </row>
    <row r="758" spans="1:4" hidden="1" x14ac:dyDescent="0.45">
      <c r="A758" s="13">
        <v>79171343</v>
      </c>
      <c r="B758" s="11" t="s">
        <v>45</v>
      </c>
      <c r="C758" s="11" t="s">
        <v>471</v>
      </c>
      <c r="D758" s="11" t="str">
        <f>IFERROR(_xlfn.XLOOKUP($A758&amp;"",Hoja1!$C$2:$C$290,Hoja1!$D$2:$D$290),IFERROR(_xlfn.XLOOKUP($A758,'Sucursales Empleado'!$A$2:$A$265,'Sucursales Empleado'!$B$2:$B$265),""))</f>
        <v>Parmessano Santafe Bogota</v>
      </c>
    </row>
    <row r="759" spans="1:4" hidden="1" x14ac:dyDescent="0.45">
      <c r="A759" s="3">
        <v>1000331392</v>
      </c>
      <c r="B759" s="2" t="s">
        <v>42</v>
      </c>
      <c r="C759" s="2" t="s">
        <v>472</v>
      </c>
      <c r="D759" s="10" t="str">
        <f>IFERROR(_xlfn.XLOOKUP($A759&amp;"",Hoja1!$C$2:$C$253,Hoja1!$D$2:$D$253),IFERROR(_xlfn.XLOOKUP($A759,'Sucursales Empleado'!$A$2:$A$236,'Sucursales Empleado'!$B$2:$B$236),""))</f>
        <v>Parmessano Unicentro Bogotá</v>
      </c>
    </row>
    <row r="760" spans="1:4" hidden="1" x14ac:dyDescent="0.45">
      <c r="A760" s="3">
        <v>1000331392</v>
      </c>
      <c r="B760" s="2" t="s">
        <v>40</v>
      </c>
      <c r="C760" s="2" t="s">
        <v>473</v>
      </c>
      <c r="D760" s="10" t="str">
        <f>IFERROR(_xlfn.XLOOKUP($A760&amp;"",Hoja1!$C$2:$C$253,Hoja1!$D$2:$D$253),IFERROR(_xlfn.XLOOKUP($A760,'Sucursales Empleado'!$A$2:$A$236,'Sucursales Empleado'!$B$2:$B$236),""))</f>
        <v>Parmessano Unicentro Bogotá</v>
      </c>
    </row>
    <row r="761" spans="1:4" hidden="1" x14ac:dyDescent="0.45">
      <c r="A761" s="3">
        <v>1000331392</v>
      </c>
      <c r="B761" s="2" t="s">
        <v>41</v>
      </c>
      <c r="C761" s="2" t="s">
        <v>473</v>
      </c>
      <c r="D761" s="10" t="str">
        <f>IFERROR(_xlfn.XLOOKUP($A761&amp;"",Hoja1!$C$2:$C$253,Hoja1!$D$2:$D$253),IFERROR(_xlfn.XLOOKUP($A761,'Sucursales Empleado'!$A$2:$A$236,'Sucursales Empleado'!$B$2:$B$236),""))</f>
        <v>Parmessano Unicentro Bogotá</v>
      </c>
    </row>
    <row r="762" spans="1:4" hidden="1" x14ac:dyDescent="0.45">
      <c r="A762" s="3">
        <v>1000331392</v>
      </c>
      <c r="B762" s="2" t="s">
        <v>1251</v>
      </c>
      <c r="C762" s="2" t="s">
        <v>473</v>
      </c>
      <c r="D762" s="10" t="str">
        <f>IFERROR(_xlfn.XLOOKUP($A762&amp;"",Hoja1!$C$2:$C$253,Hoja1!$D$2:$D$253),IFERROR(_xlfn.XLOOKUP($A762,'Sucursales Empleado'!$A$2:$A$236,'Sucursales Empleado'!$B$2:$B$236),""))</f>
        <v>Parmessano Unicentro Bogotá</v>
      </c>
    </row>
    <row r="763" spans="1:4" hidden="1" x14ac:dyDescent="0.45">
      <c r="A763" s="3">
        <v>1000331392</v>
      </c>
      <c r="B763" s="2" t="s">
        <v>39</v>
      </c>
      <c r="C763" s="2" t="s">
        <v>473</v>
      </c>
      <c r="D763" s="10" t="str">
        <f>IFERROR(_xlfn.XLOOKUP($A763&amp;"",Hoja1!$C$2:$C$253,Hoja1!$D$2:$D$253),IFERROR(_xlfn.XLOOKUP($A763,'Sucursales Empleado'!$A$2:$A$236,'Sucursales Empleado'!$B$2:$B$236),""))</f>
        <v>Parmessano Unicentro Bogotá</v>
      </c>
    </row>
    <row r="764" spans="1:4" hidden="1" x14ac:dyDescent="0.45">
      <c r="A764" s="3">
        <v>1000331392</v>
      </c>
      <c r="B764" s="2" t="s">
        <v>37</v>
      </c>
      <c r="C764" s="2" t="s">
        <v>473</v>
      </c>
      <c r="D764" s="10" t="str">
        <f>IFERROR(_xlfn.XLOOKUP($A764&amp;"",Hoja1!$C$2:$C$253,Hoja1!$D$2:$D$253),IFERROR(_xlfn.XLOOKUP($A764,'Sucursales Empleado'!$A$2:$A$236,'Sucursales Empleado'!$B$2:$B$236),""))</f>
        <v>Parmessano Unicentro Bogotá</v>
      </c>
    </row>
    <row r="765" spans="1:4" hidden="1" x14ac:dyDescent="0.45">
      <c r="A765" s="3">
        <v>1019988293</v>
      </c>
      <c r="B765" s="2" t="s">
        <v>42</v>
      </c>
      <c r="C765" s="2" t="s">
        <v>472</v>
      </c>
      <c r="D765" s="10" t="str">
        <f>IFERROR(_xlfn.XLOOKUP($A765&amp;"",Hoja1!$C$2:$C$253,Hoja1!$D$2:$D$253),IFERROR(_xlfn.XLOOKUP($A765,'Sucursales Empleado'!$A$2:$A$236,'Sucursales Empleado'!$B$2:$B$236),""))</f>
        <v>Parmessano Unicentro Bogotá</v>
      </c>
    </row>
    <row r="766" spans="1:4" hidden="1" x14ac:dyDescent="0.45">
      <c r="A766" s="3">
        <v>1019988293</v>
      </c>
      <c r="B766" s="2" t="s">
        <v>40</v>
      </c>
      <c r="C766" s="2" t="s">
        <v>473</v>
      </c>
      <c r="D766" s="10" t="str">
        <f>IFERROR(_xlfn.XLOOKUP($A766&amp;"",Hoja1!$C$2:$C$253,Hoja1!$D$2:$D$253),IFERROR(_xlfn.XLOOKUP($A766,'Sucursales Empleado'!$A$2:$A$236,'Sucursales Empleado'!$B$2:$B$236),""))</f>
        <v>Parmessano Unicentro Bogotá</v>
      </c>
    </row>
    <row r="767" spans="1:4" hidden="1" x14ac:dyDescent="0.45">
      <c r="A767" s="3">
        <v>1019988293</v>
      </c>
      <c r="B767" s="2" t="s">
        <v>41</v>
      </c>
      <c r="C767" s="2" t="s">
        <v>473</v>
      </c>
      <c r="D767" s="10" t="str">
        <f>IFERROR(_xlfn.XLOOKUP($A767&amp;"",Hoja1!$C$2:$C$253,Hoja1!$D$2:$D$253),IFERROR(_xlfn.XLOOKUP($A767,'Sucursales Empleado'!$A$2:$A$236,'Sucursales Empleado'!$B$2:$B$236),""))</f>
        <v>Parmessano Unicentro Bogotá</v>
      </c>
    </row>
    <row r="768" spans="1:4" hidden="1" x14ac:dyDescent="0.45">
      <c r="A768" s="3">
        <v>1019988293</v>
      </c>
      <c r="B768" s="2" t="s">
        <v>1251</v>
      </c>
      <c r="C768" s="2" t="s">
        <v>471</v>
      </c>
      <c r="D768" s="10" t="str">
        <f>IFERROR(_xlfn.XLOOKUP($A768&amp;"",Hoja1!$C$2:$C$253,Hoja1!$D$2:$D$253),IFERROR(_xlfn.XLOOKUP($A768,'Sucursales Empleado'!$A$2:$A$236,'Sucursales Empleado'!$B$2:$B$236),""))</f>
        <v>Parmessano Unicentro Bogotá</v>
      </c>
    </row>
    <row r="769" spans="1:4" hidden="1" x14ac:dyDescent="0.45">
      <c r="A769" s="3">
        <v>1019988293</v>
      </c>
      <c r="B769" s="2" t="s">
        <v>39</v>
      </c>
      <c r="C769" s="2" t="s">
        <v>472</v>
      </c>
      <c r="D769" s="10" t="str">
        <f>IFERROR(_xlfn.XLOOKUP($A769&amp;"",Hoja1!$C$2:$C$253,Hoja1!$D$2:$D$253),IFERROR(_xlfn.XLOOKUP($A769,'Sucursales Empleado'!$A$2:$A$236,'Sucursales Empleado'!$B$2:$B$236),""))</f>
        <v>Parmessano Unicentro Bogotá</v>
      </c>
    </row>
    <row r="770" spans="1:4" hidden="1" x14ac:dyDescent="0.45">
      <c r="A770" s="3">
        <v>1019988293</v>
      </c>
      <c r="B770" s="2" t="s">
        <v>37</v>
      </c>
      <c r="C770" s="2" t="s">
        <v>471</v>
      </c>
      <c r="D770" s="10" t="str">
        <f>IFERROR(_xlfn.XLOOKUP($A770&amp;"",Hoja1!$C$2:$C$253,Hoja1!$D$2:$D$253),IFERROR(_xlfn.XLOOKUP($A770,'Sucursales Empleado'!$A$2:$A$236,'Sucursales Empleado'!$B$2:$B$236),""))</f>
        <v>Parmessano Unicentro Bogotá</v>
      </c>
    </row>
    <row r="771" spans="1:4" hidden="1" x14ac:dyDescent="0.45">
      <c r="A771" s="3">
        <v>2947292</v>
      </c>
      <c r="B771" s="2" t="s">
        <v>42</v>
      </c>
      <c r="C771" s="2" t="s">
        <v>472</v>
      </c>
      <c r="D771" s="10" t="str">
        <f>IFERROR(_xlfn.XLOOKUP($A771&amp;"",Hoja1!$C$2:$C$253,Hoja1!$D$2:$D$253),IFERROR(_xlfn.XLOOKUP($A771,'Sucursales Empleado'!$A$2:$A$236,'Sucursales Empleado'!$B$2:$B$236),""))</f>
        <v>Parmessano Unicentro Bogotá</v>
      </c>
    </row>
    <row r="772" spans="1:4" hidden="1" x14ac:dyDescent="0.45">
      <c r="A772" s="3">
        <v>2947292</v>
      </c>
      <c r="B772" s="2" t="s">
        <v>40</v>
      </c>
      <c r="C772" s="2" t="s">
        <v>473</v>
      </c>
      <c r="D772" s="10" t="str">
        <f>IFERROR(_xlfn.XLOOKUP($A772&amp;"",Hoja1!$C$2:$C$253,Hoja1!$D$2:$D$253),IFERROR(_xlfn.XLOOKUP($A772,'Sucursales Empleado'!$A$2:$A$236,'Sucursales Empleado'!$B$2:$B$236),""))</f>
        <v>Parmessano Unicentro Bogotá</v>
      </c>
    </row>
    <row r="773" spans="1:4" hidden="1" x14ac:dyDescent="0.45">
      <c r="A773" s="3">
        <v>2947292</v>
      </c>
      <c r="B773" s="2" t="s">
        <v>41</v>
      </c>
      <c r="C773" s="2" t="s">
        <v>472</v>
      </c>
      <c r="D773" s="10" t="str">
        <f>IFERROR(_xlfn.XLOOKUP($A773&amp;"",Hoja1!$C$2:$C$253,Hoja1!$D$2:$D$253),IFERROR(_xlfn.XLOOKUP($A773,'Sucursales Empleado'!$A$2:$A$236,'Sucursales Empleado'!$B$2:$B$236),""))</f>
        <v>Parmessano Unicentro Bogotá</v>
      </c>
    </row>
    <row r="774" spans="1:4" hidden="1" x14ac:dyDescent="0.45">
      <c r="A774" s="3">
        <v>2947292</v>
      </c>
      <c r="B774" s="2" t="s">
        <v>1251</v>
      </c>
      <c r="C774" s="2" t="s">
        <v>471</v>
      </c>
      <c r="D774" s="10" t="str">
        <f>IFERROR(_xlfn.XLOOKUP($A774&amp;"",Hoja1!$C$2:$C$253,Hoja1!$D$2:$D$253),IFERROR(_xlfn.XLOOKUP($A774,'Sucursales Empleado'!$A$2:$A$236,'Sucursales Empleado'!$B$2:$B$236),""))</f>
        <v>Parmessano Unicentro Bogotá</v>
      </c>
    </row>
    <row r="775" spans="1:4" hidden="1" x14ac:dyDescent="0.45">
      <c r="A775" s="3">
        <v>2947292</v>
      </c>
      <c r="B775" s="2" t="s">
        <v>39</v>
      </c>
      <c r="C775" s="2" t="s">
        <v>471</v>
      </c>
      <c r="D775" s="10" t="str">
        <f>IFERROR(_xlfn.XLOOKUP($A775&amp;"",Hoja1!$C$2:$C$253,Hoja1!$D$2:$D$253),IFERROR(_xlfn.XLOOKUP($A775,'Sucursales Empleado'!$A$2:$A$236,'Sucursales Empleado'!$B$2:$B$236),""))</f>
        <v>Parmessano Unicentro Bogotá</v>
      </c>
    </row>
    <row r="776" spans="1:4" hidden="1" x14ac:dyDescent="0.45">
      <c r="A776" s="3">
        <v>2947292</v>
      </c>
      <c r="B776" s="2" t="s">
        <v>37</v>
      </c>
      <c r="C776" s="2" t="s">
        <v>471</v>
      </c>
      <c r="D776" s="10" t="str">
        <f>IFERROR(_xlfn.XLOOKUP($A776&amp;"",Hoja1!$C$2:$C$253,Hoja1!$D$2:$D$253),IFERROR(_xlfn.XLOOKUP($A776,'Sucursales Empleado'!$A$2:$A$236,'Sucursales Empleado'!$B$2:$B$236),""))</f>
        <v>Parmessano Unicentro Bogotá</v>
      </c>
    </row>
    <row r="777" spans="1:4" hidden="1" x14ac:dyDescent="0.45">
      <c r="A777" s="3">
        <v>4648434</v>
      </c>
      <c r="B777" s="2" t="s">
        <v>42</v>
      </c>
      <c r="C777" s="2" t="s">
        <v>471</v>
      </c>
      <c r="D777" s="10" t="str">
        <f>IFERROR(_xlfn.XLOOKUP($A777&amp;"",Hoja1!$C$2:$C$253,Hoja1!$D$2:$D$253),IFERROR(_xlfn.XLOOKUP($A777,'Sucursales Empleado'!$A$2:$A$236,'Sucursales Empleado'!$B$2:$B$236),""))</f>
        <v>Parmessano Unicentro Bogotá</v>
      </c>
    </row>
    <row r="778" spans="1:4" hidden="1" x14ac:dyDescent="0.45">
      <c r="A778" s="3">
        <v>4648434</v>
      </c>
      <c r="B778" s="2" t="s">
        <v>40</v>
      </c>
      <c r="C778" s="2" t="s">
        <v>471</v>
      </c>
      <c r="D778" s="10" t="str">
        <f>IFERROR(_xlfn.XLOOKUP($A778&amp;"",Hoja1!$C$2:$C$253,Hoja1!$D$2:$D$253),IFERROR(_xlfn.XLOOKUP($A778,'Sucursales Empleado'!$A$2:$A$236,'Sucursales Empleado'!$B$2:$B$236),""))</f>
        <v>Parmessano Unicentro Bogotá</v>
      </c>
    </row>
    <row r="779" spans="1:4" hidden="1" x14ac:dyDescent="0.45">
      <c r="A779" s="3">
        <v>4648434</v>
      </c>
      <c r="B779" s="2" t="s">
        <v>41</v>
      </c>
      <c r="C779" s="2" t="s">
        <v>471</v>
      </c>
      <c r="D779" s="10" t="str">
        <f>IFERROR(_xlfn.XLOOKUP($A779&amp;"",Hoja1!$C$2:$C$253,Hoja1!$D$2:$D$253),IFERROR(_xlfn.XLOOKUP($A779,'Sucursales Empleado'!$A$2:$A$236,'Sucursales Empleado'!$B$2:$B$236),""))</f>
        <v>Parmessano Unicentro Bogotá</v>
      </c>
    </row>
    <row r="780" spans="1:4" hidden="1" x14ac:dyDescent="0.45">
      <c r="A780" s="3">
        <v>4648434</v>
      </c>
      <c r="B780" s="2" t="s">
        <v>1251</v>
      </c>
      <c r="C780" s="2" t="s">
        <v>471</v>
      </c>
      <c r="D780" s="10" t="str">
        <f>IFERROR(_xlfn.XLOOKUP($A780&amp;"",Hoja1!$C$2:$C$253,Hoja1!$D$2:$D$253),IFERROR(_xlfn.XLOOKUP($A780,'Sucursales Empleado'!$A$2:$A$236,'Sucursales Empleado'!$B$2:$B$236),""))</f>
        <v>Parmessano Unicentro Bogotá</v>
      </c>
    </row>
    <row r="781" spans="1:4" hidden="1" x14ac:dyDescent="0.45">
      <c r="A781" s="3">
        <v>4648434</v>
      </c>
      <c r="B781" s="2" t="s">
        <v>39</v>
      </c>
      <c r="C781" s="2" t="s">
        <v>471</v>
      </c>
      <c r="D781" s="10" t="str">
        <f>IFERROR(_xlfn.XLOOKUP($A781&amp;"",Hoja1!$C$2:$C$253,Hoja1!$D$2:$D$253),IFERROR(_xlfn.XLOOKUP($A781,'Sucursales Empleado'!$A$2:$A$236,'Sucursales Empleado'!$B$2:$B$236),""))</f>
        <v>Parmessano Unicentro Bogotá</v>
      </c>
    </row>
    <row r="782" spans="1:4" hidden="1" x14ac:dyDescent="0.45">
      <c r="A782" s="3">
        <v>4648434</v>
      </c>
      <c r="B782" s="2" t="s">
        <v>37</v>
      </c>
      <c r="C782" s="2" t="s">
        <v>471</v>
      </c>
      <c r="D782" s="10" t="str">
        <f>IFERROR(_xlfn.XLOOKUP($A782&amp;"",Hoja1!$C$2:$C$253,Hoja1!$D$2:$D$253),IFERROR(_xlfn.XLOOKUP($A782,'Sucursales Empleado'!$A$2:$A$236,'Sucursales Empleado'!$B$2:$B$236),""))</f>
        <v>Parmessano Unicentro Bogotá</v>
      </c>
    </row>
    <row r="783" spans="1:4" hidden="1" x14ac:dyDescent="0.45">
      <c r="A783" s="3">
        <v>5383246</v>
      </c>
      <c r="B783" s="2" t="s">
        <v>42</v>
      </c>
      <c r="C783" s="2" t="s">
        <v>472</v>
      </c>
      <c r="D783" s="10" t="str">
        <f>IFERROR(_xlfn.XLOOKUP($A783&amp;"",Hoja1!$C$2:$C$253,Hoja1!$D$2:$D$253),IFERROR(_xlfn.XLOOKUP($A783,'Sucursales Empleado'!$A$2:$A$236,'Sucursales Empleado'!$B$2:$B$236),""))</f>
        <v>Parmessano Unicentro Bogotá</v>
      </c>
    </row>
    <row r="784" spans="1:4" hidden="1" x14ac:dyDescent="0.45">
      <c r="A784" s="3">
        <v>5383246</v>
      </c>
      <c r="B784" s="2" t="s">
        <v>40</v>
      </c>
      <c r="C784" s="2" t="s">
        <v>472</v>
      </c>
      <c r="D784" s="10" t="str">
        <f>IFERROR(_xlfn.XLOOKUP($A784&amp;"",Hoja1!$C$2:$C$253,Hoja1!$D$2:$D$253),IFERROR(_xlfn.XLOOKUP($A784,'Sucursales Empleado'!$A$2:$A$236,'Sucursales Empleado'!$B$2:$B$236),""))</f>
        <v>Parmessano Unicentro Bogotá</v>
      </c>
    </row>
    <row r="785" spans="1:4" hidden="1" x14ac:dyDescent="0.45">
      <c r="A785" s="3">
        <v>5383246</v>
      </c>
      <c r="B785" s="2" t="s">
        <v>41</v>
      </c>
      <c r="C785" s="2" t="s">
        <v>472</v>
      </c>
      <c r="D785" s="10" t="str">
        <f>IFERROR(_xlfn.XLOOKUP($A785&amp;"",Hoja1!$C$2:$C$253,Hoja1!$D$2:$D$253),IFERROR(_xlfn.XLOOKUP($A785,'Sucursales Empleado'!$A$2:$A$236,'Sucursales Empleado'!$B$2:$B$236),""))</f>
        <v>Parmessano Unicentro Bogotá</v>
      </c>
    </row>
    <row r="786" spans="1:4" hidden="1" x14ac:dyDescent="0.45">
      <c r="A786" s="3">
        <v>5383246</v>
      </c>
      <c r="B786" s="2" t="s">
        <v>1251</v>
      </c>
      <c r="C786" s="2" t="s">
        <v>473</v>
      </c>
      <c r="D786" s="10" t="str">
        <f>IFERROR(_xlfn.XLOOKUP($A786&amp;"",Hoja1!$C$2:$C$253,Hoja1!$D$2:$D$253),IFERROR(_xlfn.XLOOKUP($A786,'Sucursales Empleado'!$A$2:$A$236,'Sucursales Empleado'!$B$2:$B$236),""))</f>
        <v>Parmessano Unicentro Bogotá</v>
      </c>
    </row>
    <row r="787" spans="1:4" hidden="1" x14ac:dyDescent="0.45">
      <c r="A787" s="3">
        <v>5383246</v>
      </c>
      <c r="B787" s="2" t="s">
        <v>39</v>
      </c>
      <c r="C787" s="2" t="s">
        <v>472</v>
      </c>
      <c r="D787" s="10" t="str">
        <f>IFERROR(_xlfn.XLOOKUP($A787&amp;"",Hoja1!$C$2:$C$253,Hoja1!$D$2:$D$253),IFERROR(_xlfn.XLOOKUP($A787,'Sucursales Empleado'!$A$2:$A$236,'Sucursales Empleado'!$B$2:$B$236),""))</f>
        <v>Parmessano Unicentro Bogotá</v>
      </c>
    </row>
    <row r="788" spans="1:4" hidden="1" x14ac:dyDescent="0.45">
      <c r="A788" s="3">
        <v>5383246</v>
      </c>
      <c r="B788" s="2" t="s">
        <v>37</v>
      </c>
      <c r="C788" s="2" t="s">
        <v>472</v>
      </c>
      <c r="D788" s="10" t="str">
        <f>IFERROR(_xlfn.XLOOKUP($A788&amp;"",Hoja1!$C$2:$C$253,Hoja1!$D$2:$D$253),IFERROR(_xlfn.XLOOKUP($A788,'Sucursales Empleado'!$A$2:$A$236,'Sucursales Empleado'!$B$2:$B$236),""))</f>
        <v>Parmessano Unicentro Bogotá</v>
      </c>
    </row>
    <row r="789" spans="1:4" hidden="1" x14ac:dyDescent="0.45">
      <c r="A789" s="3">
        <v>6404611</v>
      </c>
      <c r="B789" s="2" t="s">
        <v>42</v>
      </c>
      <c r="C789" s="2" t="s">
        <v>472</v>
      </c>
      <c r="D789" s="10" t="str">
        <f>IFERROR(_xlfn.XLOOKUP($A789&amp;"",Hoja1!$C$2:$C$253,Hoja1!$D$2:$D$253),IFERROR(_xlfn.XLOOKUP($A789,'Sucursales Empleado'!$A$2:$A$236,'Sucursales Empleado'!$B$2:$B$236),""))</f>
        <v>Parmessano Unicentro Bogotá</v>
      </c>
    </row>
    <row r="790" spans="1:4" hidden="1" x14ac:dyDescent="0.45">
      <c r="A790" s="3">
        <v>6404611</v>
      </c>
      <c r="B790" s="2" t="s">
        <v>40</v>
      </c>
      <c r="C790" s="2" t="s">
        <v>471</v>
      </c>
      <c r="D790" s="10" t="str">
        <f>IFERROR(_xlfn.XLOOKUP($A790&amp;"",Hoja1!$C$2:$C$253,Hoja1!$D$2:$D$253),IFERROR(_xlfn.XLOOKUP($A790,'Sucursales Empleado'!$A$2:$A$236,'Sucursales Empleado'!$B$2:$B$236),""))</f>
        <v>Parmessano Unicentro Bogotá</v>
      </c>
    </row>
    <row r="791" spans="1:4" hidden="1" x14ac:dyDescent="0.45">
      <c r="A791" s="3">
        <v>6404611</v>
      </c>
      <c r="B791" s="2" t="s">
        <v>41</v>
      </c>
      <c r="C791" s="2" t="s">
        <v>472</v>
      </c>
      <c r="D791" s="10" t="str">
        <f>IFERROR(_xlfn.XLOOKUP($A791&amp;"",Hoja1!$C$2:$C$253,Hoja1!$D$2:$D$253),IFERROR(_xlfn.XLOOKUP($A791,'Sucursales Empleado'!$A$2:$A$236,'Sucursales Empleado'!$B$2:$B$236),""))</f>
        <v>Parmessano Unicentro Bogotá</v>
      </c>
    </row>
    <row r="792" spans="1:4" hidden="1" x14ac:dyDescent="0.45">
      <c r="A792" s="3">
        <v>6404611</v>
      </c>
      <c r="B792" s="2" t="s">
        <v>1251</v>
      </c>
      <c r="C792" s="2" t="s">
        <v>471</v>
      </c>
      <c r="D792" s="10" t="str">
        <f>IFERROR(_xlfn.XLOOKUP($A792&amp;"",Hoja1!$C$2:$C$253,Hoja1!$D$2:$D$253),IFERROR(_xlfn.XLOOKUP($A792,'Sucursales Empleado'!$A$2:$A$236,'Sucursales Empleado'!$B$2:$B$236),""))</f>
        <v>Parmessano Unicentro Bogotá</v>
      </c>
    </row>
    <row r="793" spans="1:4" hidden="1" x14ac:dyDescent="0.45">
      <c r="A793" s="3">
        <v>6404611</v>
      </c>
      <c r="B793" s="2" t="s">
        <v>39</v>
      </c>
      <c r="C793" s="2" t="s">
        <v>471</v>
      </c>
      <c r="D793" s="10" t="str">
        <f>IFERROR(_xlfn.XLOOKUP($A793&amp;"",Hoja1!$C$2:$C$253,Hoja1!$D$2:$D$253),IFERROR(_xlfn.XLOOKUP($A793,'Sucursales Empleado'!$A$2:$A$236,'Sucursales Empleado'!$B$2:$B$236),""))</f>
        <v>Parmessano Unicentro Bogotá</v>
      </c>
    </row>
    <row r="794" spans="1:4" hidden="1" x14ac:dyDescent="0.45">
      <c r="A794" s="3">
        <v>6404611</v>
      </c>
      <c r="B794" s="2" t="s">
        <v>37</v>
      </c>
      <c r="C794" s="2" t="s">
        <v>471</v>
      </c>
      <c r="D794" s="10" t="str">
        <f>IFERROR(_xlfn.XLOOKUP($A794&amp;"",Hoja1!$C$2:$C$253,Hoja1!$D$2:$D$253),IFERROR(_xlfn.XLOOKUP($A794,'Sucursales Empleado'!$A$2:$A$236,'Sucursales Empleado'!$B$2:$B$236),""))</f>
        <v>Parmessano Unicentro Bogotá</v>
      </c>
    </row>
    <row r="795" spans="1:4" hidden="1" x14ac:dyDescent="0.45">
      <c r="A795" s="3">
        <v>6593420</v>
      </c>
      <c r="B795" s="2" t="s">
        <v>42</v>
      </c>
      <c r="C795" s="2" t="s">
        <v>473</v>
      </c>
      <c r="D795" s="10" t="str">
        <f>IFERROR(_xlfn.XLOOKUP($A795&amp;"",Hoja1!$C$2:$C$253,Hoja1!$D$2:$D$253),IFERROR(_xlfn.XLOOKUP($A795,'Sucursales Empleado'!$A$2:$A$236,'Sucursales Empleado'!$B$2:$B$236),""))</f>
        <v>Parmessano Unicentro Bogotá</v>
      </c>
    </row>
    <row r="796" spans="1:4" hidden="1" x14ac:dyDescent="0.45">
      <c r="A796" s="3">
        <v>6593420</v>
      </c>
      <c r="B796" s="2" t="s">
        <v>40</v>
      </c>
      <c r="C796" s="2" t="s">
        <v>473</v>
      </c>
      <c r="D796" s="10" t="str">
        <f>IFERROR(_xlfn.XLOOKUP($A796&amp;"",Hoja1!$C$2:$C$253,Hoja1!$D$2:$D$253),IFERROR(_xlfn.XLOOKUP($A796,'Sucursales Empleado'!$A$2:$A$236,'Sucursales Empleado'!$B$2:$B$236),""))</f>
        <v>Parmessano Unicentro Bogotá</v>
      </c>
    </row>
    <row r="797" spans="1:4" hidden="1" x14ac:dyDescent="0.45">
      <c r="A797" s="3">
        <v>6593420</v>
      </c>
      <c r="B797" s="2" t="s">
        <v>41</v>
      </c>
      <c r="C797" s="2" t="s">
        <v>472</v>
      </c>
      <c r="D797" s="10" t="str">
        <f>IFERROR(_xlfn.XLOOKUP($A797&amp;"",Hoja1!$C$2:$C$253,Hoja1!$D$2:$D$253),IFERROR(_xlfn.XLOOKUP($A797,'Sucursales Empleado'!$A$2:$A$236,'Sucursales Empleado'!$B$2:$B$236),""))</f>
        <v>Parmessano Unicentro Bogotá</v>
      </c>
    </row>
    <row r="798" spans="1:4" hidden="1" x14ac:dyDescent="0.45">
      <c r="A798" s="3">
        <v>6593420</v>
      </c>
      <c r="B798" s="2" t="s">
        <v>1251</v>
      </c>
      <c r="C798" s="2" t="s">
        <v>471</v>
      </c>
      <c r="D798" s="10" t="str">
        <f>IFERROR(_xlfn.XLOOKUP($A798&amp;"",Hoja1!$C$2:$C$253,Hoja1!$D$2:$D$253),IFERROR(_xlfn.XLOOKUP($A798,'Sucursales Empleado'!$A$2:$A$236,'Sucursales Empleado'!$B$2:$B$236),""))</f>
        <v>Parmessano Unicentro Bogotá</v>
      </c>
    </row>
    <row r="799" spans="1:4" hidden="1" x14ac:dyDescent="0.45">
      <c r="A799" s="3">
        <v>6593420</v>
      </c>
      <c r="B799" s="2" t="s">
        <v>39</v>
      </c>
      <c r="C799" s="2" t="s">
        <v>471</v>
      </c>
      <c r="D799" s="10" t="str">
        <f>IFERROR(_xlfn.XLOOKUP($A799&amp;"",Hoja1!$C$2:$C$253,Hoja1!$D$2:$D$253),IFERROR(_xlfn.XLOOKUP($A799,'Sucursales Empleado'!$A$2:$A$236,'Sucursales Empleado'!$B$2:$B$236),""))</f>
        <v>Parmessano Unicentro Bogotá</v>
      </c>
    </row>
    <row r="800" spans="1:4" hidden="1" x14ac:dyDescent="0.45">
      <c r="A800" s="3">
        <v>6593420</v>
      </c>
      <c r="B800" s="2" t="s">
        <v>37</v>
      </c>
      <c r="C800" s="2" t="s">
        <v>471</v>
      </c>
      <c r="D800" s="10" t="str">
        <f>IFERROR(_xlfn.XLOOKUP($A800&amp;"",Hoja1!$C$2:$C$253,Hoja1!$D$2:$D$253),IFERROR(_xlfn.XLOOKUP($A800,'Sucursales Empleado'!$A$2:$A$236,'Sucursales Empleado'!$B$2:$B$236),""))</f>
        <v>Parmessano Unicentro Bogotá</v>
      </c>
    </row>
    <row r="801" spans="1:4" hidden="1" x14ac:dyDescent="0.45">
      <c r="A801" s="3">
        <v>73435606</v>
      </c>
      <c r="B801" s="2" t="s">
        <v>42</v>
      </c>
      <c r="C801" s="2" t="s">
        <v>473</v>
      </c>
      <c r="D801" s="10" t="str">
        <f>IFERROR(_xlfn.XLOOKUP($A801&amp;"",Hoja1!$C$2:$C$253,Hoja1!$D$2:$D$253),IFERROR(_xlfn.XLOOKUP($A801,'Sucursales Empleado'!$A$2:$A$236,'Sucursales Empleado'!$B$2:$B$236),""))</f>
        <v>Parmessano Unicentro Bogotá</v>
      </c>
    </row>
    <row r="802" spans="1:4" hidden="1" x14ac:dyDescent="0.45">
      <c r="A802" s="3">
        <v>73435606</v>
      </c>
      <c r="B802" s="2" t="s">
        <v>40</v>
      </c>
      <c r="C802" s="2" t="s">
        <v>472</v>
      </c>
      <c r="D802" s="10" t="str">
        <f>IFERROR(_xlfn.XLOOKUP($A802&amp;"",Hoja1!$C$2:$C$253,Hoja1!$D$2:$D$253),IFERROR(_xlfn.XLOOKUP($A802,'Sucursales Empleado'!$A$2:$A$236,'Sucursales Empleado'!$B$2:$B$236),""))</f>
        <v>Parmessano Unicentro Bogotá</v>
      </c>
    </row>
    <row r="803" spans="1:4" hidden="1" x14ac:dyDescent="0.45">
      <c r="A803" s="3">
        <v>73435606</v>
      </c>
      <c r="B803" s="2" t="s">
        <v>41</v>
      </c>
      <c r="C803" s="2" t="s">
        <v>472</v>
      </c>
      <c r="D803" s="10" t="str">
        <f>IFERROR(_xlfn.XLOOKUP($A803&amp;"",Hoja1!$C$2:$C$253,Hoja1!$D$2:$D$253),IFERROR(_xlfn.XLOOKUP($A803,'Sucursales Empleado'!$A$2:$A$236,'Sucursales Empleado'!$B$2:$B$236),""))</f>
        <v>Parmessano Unicentro Bogotá</v>
      </c>
    </row>
    <row r="804" spans="1:4" hidden="1" x14ac:dyDescent="0.45">
      <c r="A804" s="3">
        <v>73435606</v>
      </c>
      <c r="B804" s="2" t="s">
        <v>1251</v>
      </c>
      <c r="C804" s="2" t="s">
        <v>473</v>
      </c>
      <c r="D804" s="10" t="str">
        <f>IFERROR(_xlfn.XLOOKUP($A804&amp;"",Hoja1!$C$2:$C$253,Hoja1!$D$2:$D$253),IFERROR(_xlfn.XLOOKUP($A804,'Sucursales Empleado'!$A$2:$A$236,'Sucursales Empleado'!$B$2:$B$236),""))</f>
        <v>Parmessano Unicentro Bogotá</v>
      </c>
    </row>
    <row r="805" spans="1:4" hidden="1" x14ac:dyDescent="0.45">
      <c r="A805" s="3">
        <v>73435606</v>
      </c>
      <c r="B805" s="2" t="s">
        <v>39</v>
      </c>
      <c r="C805" s="2" t="s">
        <v>472</v>
      </c>
      <c r="D805" s="10" t="str">
        <f>IFERROR(_xlfn.XLOOKUP($A805&amp;"",Hoja1!$C$2:$C$253,Hoja1!$D$2:$D$253),IFERROR(_xlfn.XLOOKUP($A805,'Sucursales Empleado'!$A$2:$A$236,'Sucursales Empleado'!$B$2:$B$236),""))</f>
        <v>Parmessano Unicentro Bogotá</v>
      </c>
    </row>
    <row r="806" spans="1:4" hidden="1" x14ac:dyDescent="0.45">
      <c r="A806" s="3">
        <v>73435606</v>
      </c>
      <c r="B806" s="2" t="s">
        <v>37</v>
      </c>
      <c r="C806" s="2" t="s">
        <v>472</v>
      </c>
      <c r="D806" s="10" t="str">
        <f>IFERROR(_xlfn.XLOOKUP($A806&amp;"",Hoja1!$C$2:$C$253,Hoja1!$D$2:$D$253),IFERROR(_xlfn.XLOOKUP($A806,'Sucursales Empleado'!$A$2:$A$236,'Sucursales Empleado'!$B$2:$B$236),""))</f>
        <v>Parmessano Unicentro Bogotá</v>
      </c>
    </row>
    <row r="807" spans="1:4" hidden="1" x14ac:dyDescent="0.45">
      <c r="A807" s="3">
        <v>1001115014</v>
      </c>
      <c r="B807" s="2" t="s">
        <v>42</v>
      </c>
      <c r="C807" s="2" t="s">
        <v>472</v>
      </c>
      <c r="D807" s="10" t="str">
        <f>IFERROR(_xlfn.XLOOKUP($A807&amp;"",Hoja1!$C$2:$C$253,Hoja1!$D$2:$D$253),IFERROR(_xlfn.XLOOKUP($A807,'Sucursales Empleado'!$A$2:$A$236,'Sucursales Empleado'!$B$2:$B$236),""))</f>
        <v>Parmessano Unicentro Bogotá</v>
      </c>
    </row>
    <row r="808" spans="1:4" hidden="1" x14ac:dyDescent="0.45">
      <c r="A808" s="3">
        <v>1001115014</v>
      </c>
      <c r="B808" s="2" t="s">
        <v>40</v>
      </c>
      <c r="C808" s="2" t="s">
        <v>473</v>
      </c>
      <c r="D808" s="10" t="str">
        <f>IFERROR(_xlfn.XLOOKUP($A808&amp;"",Hoja1!$C$2:$C$253,Hoja1!$D$2:$D$253),IFERROR(_xlfn.XLOOKUP($A808,'Sucursales Empleado'!$A$2:$A$236,'Sucursales Empleado'!$B$2:$B$236),""))</f>
        <v>Parmessano Unicentro Bogotá</v>
      </c>
    </row>
    <row r="809" spans="1:4" hidden="1" x14ac:dyDescent="0.45">
      <c r="A809" s="3">
        <v>1001115014</v>
      </c>
      <c r="B809" s="2" t="s">
        <v>41</v>
      </c>
      <c r="C809" s="2" t="s">
        <v>473</v>
      </c>
      <c r="D809" s="10" t="str">
        <f>IFERROR(_xlfn.XLOOKUP($A809&amp;"",Hoja1!$C$2:$C$253,Hoja1!$D$2:$D$253),IFERROR(_xlfn.XLOOKUP($A809,'Sucursales Empleado'!$A$2:$A$236,'Sucursales Empleado'!$B$2:$B$236),""))</f>
        <v>Parmessano Unicentro Bogotá</v>
      </c>
    </row>
    <row r="810" spans="1:4" hidden="1" x14ac:dyDescent="0.45">
      <c r="A810" s="3">
        <v>1001115014</v>
      </c>
      <c r="B810" s="2" t="s">
        <v>1251</v>
      </c>
      <c r="C810" s="2" t="s">
        <v>471</v>
      </c>
      <c r="D810" s="10" t="str">
        <f>IFERROR(_xlfn.XLOOKUP($A810&amp;"",Hoja1!$C$2:$C$253,Hoja1!$D$2:$D$253),IFERROR(_xlfn.XLOOKUP($A810,'Sucursales Empleado'!$A$2:$A$236,'Sucursales Empleado'!$B$2:$B$236),""))</f>
        <v>Parmessano Unicentro Bogotá</v>
      </c>
    </row>
    <row r="811" spans="1:4" hidden="1" x14ac:dyDescent="0.45">
      <c r="A811" s="3">
        <v>1001115014</v>
      </c>
      <c r="B811" s="2" t="s">
        <v>39</v>
      </c>
      <c r="C811" s="2" t="s">
        <v>473</v>
      </c>
      <c r="D811" s="10" t="str">
        <f>IFERROR(_xlfn.XLOOKUP($A811&amp;"",Hoja1!$C$2:$C$253,Hoja1!$D$2:$D$253),IFERROR(_xlfn.XLOOKUP($A811,'Sucursales Empleado'!$A$2:$A$236,'Sucursales Empleado'!$B$2:$B$236),""))</f>
        <v>Parmessano Unicentro Bogotá</v>
      </c>
    </row>
    <row r="812" spans="1:4" hidden="1" x14ac:dyDescent="0.45">
      <c r="A812" s="3">
        <v>1001115014</v>
      </c>
      <c r="B812" s="2" t="s">
        <v>37</v>
      </c>
      <c r="C812" s="2" t="s">
        <v>473</v>
      </c>
      <c r="D812" s="10" t="str">
        <f>IFERROR(_xlfn.XLOOKUP($A812&amp;"",Hoja1!$C$2:$C$253,Hoja1!$D$2:$D$253),IFERROR(_xlfn.XLOOKUP($A812,'Sucursales Empleado'!$A$2:$A$236,'Sucursales Empleado'!$B$2:$B$236),""))</f>
        <v>Parmessano Unicentro Bogotá</v>
      </c>
    </row>
    <row r="813" spans="1:4" hidden="1" x14ac:dyDescent="0.45">
      <c r="A813" s="3">
        <v>1002303821</v>
      </c>
      <c r="B813" s="2" t="s">
        <v>42</v>
      </c>
      <c r="C813" s="2" t="s">
        <v>472</v>
      </c>
      <c r="D813" s="10" t="str">
        <f>IFERROR(_xlfn.XLOOKUP($A813&amp;"",Hoja1!$C$2:$C$253,Hoja1!$D$2:$D$253),IFERROR(_xlfn.XLOOKUP($A813,'Sucursales Empleado'!$A$2:$A$236,'Sucursales Empleado'!$B$2:$B$236),""))</f>
        <v>Parmessano Unicentro Bogotá</v>
      </c>
    </row>
    <row r="814" spans="1:4" hidden="1" x14ac:dyDescent="0.45">
      <c r="A814" s="3">
        <v>1002303821</v>
      </c>
      <c r="B814" s="2" t="s">
        <v>40</v>
      </c>
      <c r="C814" s="2" t="s">
        <v>472</v>
      </c>
      <c r="D814" s="10" t="str">
        <f>IFERROR(_xlfn.XLOOKUP($A814&amp;"",Hoja1!$C$2:$C$253,Hoja1!$D$2:$D$253),IFERROR(_xlfn.XLOOKUP($A814,'Sucursales Empleado'!$A$2:$A$236,'Sucursales Empleado'!$B$2:$B$236),""))</f>
        <v>Parmessano Unicentro Bogotá</v>
      </c>
    </row>
    <row r="815" spans="1:4" hidden="1" x14ac:dyDescent="0.45">
      <c r="A815" s="3">
        <v>1002303821</v>
      </c>
      <c r="B815" s="2" t="s">
        <v>41</v>
      </c>
      <c r="C815" s="2" t="s">
        <v>472</v>
      </c>
      <c r="D815" s="10" t="str">
        <f>IFERROR(_xlfn.XLOOKUP($A815&amp;"",Hoja1!$C$2:$C$253,Hoja1!$D$2:$D$253),IFERROR(_xlfn.XLOOKUP($A815,'Sucursales Empleado'!$A$2:$A$236,'Sucursales Empleado'!$B$2:$B$236),""))</f>
        <v>Parmessano Unicentro Bogotá</v>
      </c>
    </row>
    <row r="816" spans="1:4" hidden="1" x14ac:dyDescent="0.45">
      <c r="A816" s="3">
        <v>1002303821</v>
      </c>
      <c r="B816" s="2" t="s">
        <v>1251</v>
      </c>
      <c r="C816" s="2" t="s">
        <v>471</v>
      </c>
      <c r="D816" s="10" t="str">
        <f>IFERROR(_xlfn.XLOOKUP($A816&amp;"",Hoja1!$C$2:$C$253,Hoja1!$D$2:$D$253),IFERROR(_xlfn.XLOOKUP($A816,'Sucursales Empleado'!$A$2:$A$236,'Sucursales Empleado'!$B$2:$B$236),""))</f>
        <v>Parmessano Unicentro Bogotá</v>
      </c>
    </row>
    <row r="817" spans="1:4" hidden="1" x14ac:dyDescent="0.45">
      <c r="A817" s="3">
        <v>1002303821</v>
      </c>
      <c r="B817" s="2" t="s">
        <v>39</v>
      </c>
      <c r="C817" s="2" t="s">
        <v>473</v>
      </c>
      <c r="D817" s="10" t="str">
        <f>IFERROR(_xlfn.XLOOKUP($A817&amp;"",Hoja1!$C$2:$C$253,Hoja1!$D$2:$D$253),IFERROR(_xlfn.XLOOKUP($A817,'Sucursales Empleado'!$A$2:$A$236,'Sucursales Empleado'!$B$2:$B$236),""))</f>
        <v>Parmessano Unicentro Bogotá</v>
      </c>
    </row>
    <row r="818" spans="1:4" hidden="1" x14ac:dyDescent="0.45">
      <c r="A818" s="3">
        <v>1002303821</v>
      </c>
      <c r="B818" s="2" t="s">
        <v>37</v>
      </c>
      <c r="C818" s="2" t="s">
        <v>471</v>
      </c>
      <c r="D818" s="10" t="str">
        <f>IFERROR(_xlfn.XLOOKUP($A818&amp;"",Hoja1!$C$2:$C$253,Hoja1!$D$2:$D$253),IFERROR(_xlfn.XLOOKUP($A818,'Sucursales Empleado'!$A$2:$A$236,'Sucursales Empleado'!$B$2:$B$236),""))</f>
        <v>Parmessano Unicentro Bogotá</v>
      </c>
    </row>
    <row r="819" spans="1:4" hidden="1" x14ac:dyDescent="0.45">
      <c r="A819" s="3">
        <v>1007288345</v>
      </c>
      <c r="B819" s="2" t="s">
        <v>42</v>
      </c>
      <c r="C819" s="2" t="s">
        <v>472</v>
      </c>
      <c r="D819" s="10" t="str">
        <f>IFERROR(_xlfn.XLOOKUP($A819&amp;"",Hoja1!$C$2:$C$253,Hoja1!$D$2:$D$253),IFERROR(_xlfn.XLOOKUP($A819,'Sucursales Empleado'!$A$2:$A$236,'Sucursales Empleado'!$B$2:$B$236),""))</f>
        <v>Parmessano Unicentro Bogotá</v>
      </c>
    </row>
    <row r="820" spans="1:4" hidden="1" x14ac:dyDescent="0.45">
      <c r="A820" s="3">
        <v>1007288345</v>
      </c>
      <c r="B820" s="2" t="s">
        <v>40</v>
      </c>
      <c r="C820" s="2" t="s">
        <v>472</v>
      </c>
      <c r="D820" s="10" t="str">
        <f>IFERROR(_xlfn.XLOOKUP($A820&amp;"",Hoja1!$C$2:$C$253,Hoja1!$D$2:$D$253),IFERROR(_xlfn.XLOOKUP($A820,'Sucursales Empleado'!$A$2:$A$236,'Sucursales Empleado'!$B$2:$B$236),""))</f>
        <v>Parmessano Unicentro Bogotá</v>
      </c>
    </row>
    <row r="821" spans="1:4" hidden="1" x14ac:dyDescent="0.45">
      <c r="A821" s="3">
        <v>1007288345</v>
      </c>
      <c r="B821" s="2" t="s">
        <v>41</v>
      </c>
      <c r="C821" s="2" t="s">
        <v>472</v>
      </c>
      <c r="D821" s="10" t="str">
        <f>IFERROR(_xlfn.XLOOKUP($A821&amp;"",Hoja1!$C$2:$C$253,Hoja1!$D$2:$D$253),IFERROR(_xlfn.XLOOKUP($A821,'Sucursales Empleado'!$A$2:$A$236,'Sucursales Empleado'!$B$2:$B$236),""))</f>
        <v>Parmessano Unicentro Bogotá</v>
      </c>
    </row>
    <row r="822" spans="1:4" hidden="1" x14ac:dyDescent="0.45">
      <c r="A822" s="3">
        <v>1007288345</v>
      </c>
      <c r="B822" s="2" t="s">
        <v>1251</v>
      </c>
      <c r="C822" s="2" t="s">
        <v>471</v>
      </c>
      <c r="D822" s="10" t="str">
        <f>IFERROR(_xlfn.XLOOKUP($A822&amp;"",Hoja1!$C$2:$C$253,Hoja1!$D$2:$D$253),IFERROR(_xlfn.XLOOKUP($A822,'Sucursales Empleado'!$A$2:$A$236,'Sucursales Empleado'!$B$2:$B$236),""))</f>
        <v>Parmessano Unicentro Bogotá</v>
      </c>
    </row>
    <row r="823" spans="1:4" hidden="1" x14ac:dyDescent="0.45">
      <c r="A823" s="3">
        <v>1007288345</v>
      </c>
      <c r="B823" s="2" t="s">
        <v>39</v>
      </c>
      <c r="C823" s="2" t="s">
        <v>473</v>
      </c>
      <c r="D823" s="10" t="str">
        <f>IFERROR(_xlfn.XLOOKUP($A823&amp;"",Hoja1!$C$2:$C$253,Hoja1!$D$2:$D$253),IFERROR(_xlfn.XLOOKUP($A823,'Sucursales Empleado'!$A$2:$A$236,'Sucursales Empleado'!$B$2:$B$236),""))</f>
        <v>Parmessano Unicentro Bogotá</v>
      </c>
    </row>
    <row r="824" spans="1:4" hidden="1" x14ac:dyDescent="0.45">
      <c r="A824" s="3">
        <v>1007288345</v>
      </c>
      <c r="B824" s="2" t="s">
        <v>37</v>
      </c>
      <c r="C824" s="2" t="s">
        <v>471</v>
      </c>
      <c r="D824" s="10" t="str">
        <f>IFERROR(_xlfn.XLOOKUP($A824&amp;"",Hoja1!$C$2:$C$253,Hoja1!$D$2:$D$253),IFERROR(_xlfn.XLOOKUP($A824,'Sucursales Empleado'!$A$2:$A$236,'Sucursales Empleado'!$B$2:$B$236),""))</f>
        <v>Parmessano Unicentro Bogotá</v>
      </c>
    </row>
    <row r="825" spans="1:4" hidden="1" x14ac:dyDescent="0.45">
      <c r="A825" s="3">
        <v>1014259402</v>
      </c>
      <c r="B825" s="2" t="s">
        <v>42</v>
      </c>
      <c r="C825" s="2" t="s">
        <v>472</v>
      </c>
      <c r="D825" s="10" t="str">
        <f>IFERROR(_xlfn.XLOOKUP($A825&amp;"",Hoja1!$C$2:$C$253,Hoja1!$D$2:$D$253),IFERROR(_xlfn.XLOOKUP($A825,'Sucursales Empleado'!$A$2:$A$236,'Sucursales Empleado'!$B$2:$B$236),""))</f>
        <v>Parmessano Unicentro Bogotá</v>
      </c>
    </row>
    <row r="826" spans="1:4" hidden="1" x14ac:dyDescent="0.45">
      <c r="A826" s="3">
        <v>1014259402</v>
      </c>
      <c r="B826" s="2" t="s">
        <v>40</v>
      </c>
      <c r="C826" s="2" t="s">
        <v>473</v>
      </c>
      <c r="D826" s="10" t="str">
        <f>IFERROR(_xlfn.XLOOKUP($A826&amp;"",Hoja1!$C$2:$C$253,Hoja1!$D$2:$D$253),IFERROR(_xlfn.XLOOKUP($A826,'Sucursales Empleado'!$A$2:$A$236,'Sucursales Empleado'!$B$2:$B$236),""))</f>
        <v>Parmessano Unicentro Bogotá</v>
      </c>
    </row>
    <row r="827" spans="1:4" hidden="1" x14ac:dyDescent="0.45">
      <c r="A827" s="3">
        <v>1014259402</v>
      </c>
      <c r="B827" s="2" t="s">
        <v>41</v>
      </c>
      <c r="C827" s="2" t="s">
        <v>472</v>
      </c>
      <c r="D827" s="10" t="str">
        <f>IFERROR(_xlfn.XLOOKUP($A827&amp;"",Hoja1!$C$2:$C$253,Hoja1!$D$2:$D$253),IFERROR(_xlfn.XLOOKUP($A827,'Sucursales Empleado'!$A$2:$A$236,'Sucursales Empleado'!$B$2:$B$236),""))</f>
        <v>Parmessano Unicentro Bogotá</v>
      </c>
    </row>
    <row r="828" spans="1:4" hidden="1" x14ac:dyDescent="0.45">
      <c r="A828" s="3">
        <v>1014259402</v>
      </c>
      <c r="B828" s="2" t="s">
        <v>1251</v>
      </c>
      <c r="C828" s="2" t="s">
        <v>471</v>
      </c>
      <c r="D828" s="10" t="str">
        <f>IFERROR(_xlfn.XLOOKUP($A828&amp;"",Hoja1!$C$2:$C$253,Hoja1!$D$2:$D$253),IFERROR(_xlfn.XLOOKUP($A828,'Sucursales Empleado'!$A$2:$A$236,'Sucursales Empleado'!$B$2:$B$236),""))</f>
        <v>Parmessano Unicentro Bogotá</v>
      </c>
    </row>
    <row r="829" spans="1:4" hidden="1" x14ac:dyDescent="0.45">
      <c r="A829" s="3">
        <v>1014259402</v>
      </c>
      <c r="B829" s="2" t="s">
        <v>39</v>
      </c>
      <c r="C829" s="2" t="s">
        <v>471</v>
      </c>
      <c r="D829" s="10" t="str">
        <f>IFERROR(_xlfn.XLOOKUP($A829&amp;"",Hoja1!$C$2:$C$253,Hoja1!$D$2:$D$253),IFERROR(_xlfn.XLOOKUP($A829,'Sucursales Empleado'!$A$2:$A$236,'Sucursales Empleado'!$B$2:$B$236),""))</f>
        <v>Parmessano Unicentro Bogotá</v>
      </c>
    </row>
    <row r="830" spans="1:4" hidden="1" x14ac:dyDescent="0.45">
      <c r="A830" s="3">
        <v>1014259402</v>
      </c>
      <c r="B830" s="2" t="s">
        <v>37</v>
      </c>
      <c r="C830" s="2" t="s">
        <v>473</v>
      </c>
      <c r="D830" s="10" t="str">
        <f>IFERROR(_xlfn.XLOOKUP($A830&amp;"",Hoja1!$C$2:$C$253,Hoja1!$D$2:$D$253),IFERROR(_xlfn.XLOOKUP($A830,'Sucursales Empleado'!$A$2:$A$236,'Sucursales Empleado'!$B$2:$B$236),""))</f>
        <v>Parmessano Unicentro Bogotá</v>
      </c>
    </row>
    <row r="831" spans="1:4" hidden="1" x14ac:dyDescent="0.45">
      <c r="A831" s="3">
        <v>1019077887</v>
      </c>
      <c r="B831" s="2" t="s">
        <v>42</v>
      </c>
      <c r="C831" s="2" t="s">
        <v>472</v>
      </c>
      <c r="D831" s="10" t="str">
        <f>IFERROR(_xlfn.XLOOKUP($A831&amp;"",Hoja1!$C$2:$C$253,Hoja1!$D$2:$D$253),IFERROR(_xlfn.XLOOKUP($A831,'Sucursales Empleado'!$A$2:$A$236,'Sucursales Empleado'!$B$2:$B$236),""))</f>
        <v>Parmessano Unicentro Bogotá</v>
      </c>
    </row>
    <row r="832" spans="1:4" hidden="1" x14ac:dyDescent="0.45">
      <c r="A832" s="3">
        <v>1019077887</v>
      </c>
      <c r="B832" s="2" t="s">
        <v>40</v>
      </c>
      <c r="C832" s="2" t="s">
        <v>472</v>
      </c>
      <c r="D832" s="10" t="str">
        <f>IFERROR(_xlfn.XLOOKUP($A832&amp;"",Hoja1!$C$2:$C$253,Hoja1!$D$2:$D$253),IFERROR(_xlfn.XLOOKUP($A832,'Sucursales Empleado'!$A$2:$A$236,'Sucursales Empleado'!$B$2:$B$236),""))</f>
        <v>Parmessano Unicentro Bogotá</v>
      </c>
    </row>
    <row r="833" spans="1:4" hidden="1" x14ac:dyDescent="0.45">
      <c r="A833" s="3">
        <v>1019077887</v>
      </c>
      <c r="B833" s="2" t="s">
        <v>41</v>
      </c>
      <c r="C833" s="2" t="s">
        <v>472</v>
      </c>
      <c r="D833" s="10" t="str">
        <f>IFERROR(_xlfn.XLOOKUP($A833&amp;"",Hoja1!$C$2:$C$253,Hoja1!$D$2:$D$253),IFERROR(_xlfn.XLOOKUP($A833,'Sucursales Empleado'!$A$2:$A$236,'Sucursales Empleado'!$B$2:$B$236),""))</f>
        <v>Parmessano Unicentro Bogotá</v>
      </c>
    </row>
    <row r="834" spans="1:4" hidden="1" x14ac:dyDescent="0.45">
      <c r="A834" s="3">
        <v>1019077887</v>
      </c>
      <c r="B834" s="2" t="s">
        <v>1251</v>
      </c>
      <c r="C834" s="2" t="s">
        <v>473</v>
      </c>
      <c r="D834" s="10" t="str">
        <f>IFERROR(_xlfn.XLOOKUP($A834&amp;"",Hoja1!$C$2:$C$253,Hoja1!$D$2:$D$253),IFERROR(_xlfn.XLOOKUP($A834,'Sucursales Empleado'!$A$2:$A$236,'Sucursales Empleado'!$B$2:$B$236),""))</f>
        <v>Parmessano Unicentro Bogotá</v>
      </c>
    </row>
    <row r="835" spans="1:4" hidden="1" x14ac:dyDescent="0.45">
      <c r="A835" s="3">
        <v>1019077887</v>
      </c>
      <c r="B835" s="2" t="s">
        <v>39</v>
      </c>
      <c r="C835" s="2" t="s">
        <v>472</v>
      </c>
      <c r="D835" s="10" t="str">
        <f>IFERROR(_xlfn.XLOOKUP($A835&amp;"",Hoja1!$C$2:$C$253,Hoja1!$D$2:$D$253),IFERROR(_xlfn.XLOOKUP($A835,'Sucursales Empleado'!$A$2:$A$236,'Sucursales Empleado'!$B$2:$B$236),""))</f>
        <v>Parmessano Unicentro Bogotá</v>
      </c>
    </row>
    <row r="836" spans="1:4" hidden="1" x14ac:dyDescent="0.45">
      <c r="A836" s="3">
        <v>1019077887</v>
      </c>
      <c r="B836" s="2" t="s">
        <v>37</v>
      </c>
      <c r="C836" s="2" t="s">
        <v>472</v>
      </c>
      <c r="D836" s="10" t="str">
        <f>IFERROR(_xlfn.XLOOKUP($A836&amp;"",Hoja1!$C$2:$C$253,Hoja1!$D$2:$D$253),IFERROR(_xlfn.XLOOKUP($A836,'Sucursales Empleado'!$A$2:$A$236,'Sucursales Empleado'!$B$2:$B$236),""))</f>
        <v>Parmessano Unicentro Bogotá</v>
      </c>
    </row>
    <row r="837" spans="1:4" hidden="1" x14ac:dyDescent="0.45">
      <c r="A837" s="3">
        <v>1053326828</v>
      </c>
      <c r="B837" s="2" t="s">
        <v>42</v>
      </c>
      <c r="C837" s="2" t="s">
        <v>471</v>
      </c>
      <c r="D837" s="10" t="str">
        <f>IFERROR(_xlfn.XLOOKUP($A837&amp;"",Hoja1!$C$2:$C$253,Hoja1!$D$2:$D$253),IFERROR(_xlfn.XLOOKUP($A837,'Sucursales Empleado'!$A$2:$A$236,'Sucursales Empleado'!$B$2:$B$236),""))</f>
        <v>Parmessano Unicentro Bogotá</v>
      </c>
    </row>
    <row r="838" spans="1:4" hidden="1" x14ac:dyDescent="0.45">
      <c r="A838" s="3">
        <v>1053326828</v>
      </c>
      <c r="B838" s="2" t="s">
        <v>40</v>
      </c>
      <c r="C838" s="2" t="s">
        <v>472</v>
      </c>
      <c r="D838" s="10" t="str">
        <f>IFERROR(_xlfn.XLOOKUP($A838&amp;"",Hoja1!$C$2:$C$253,Hoja1!$D$2:$D$253),IFERROR(_xlfn.XLOOKUP($A838,'Sucursales Empleado'!$A$2:$A$236,'Sucursales Empleado'!$B$2:$B$236),""))</f>
        <v>Parmessano Unicentro Bogotá</v>
      </c>
    </row>
    <row r="839" spans="1:4" hidden="1" x14ac:dyDescent="0.45">
      <c r="A839" s="3">
        <v>1053326828</v>
      </c>
      <c r="B839" s="2" t="s">
        <v>41</v>
      </c>
      <c r="C839" s="2" t="s">
        <v>473</v>
      </c>
      <c r="D839" s="10" t="str">
        <f>IFERROR(_xlfn.XLOOKUP($A839&amp;"",Hoja1!$C$2:$C$253,Hoja1!$D$2:$D$253),IFERROR(_xlfn.XLOOKUP($A839,'Sucursales Empleado'!$A$2:$A$236,'Sucursales Empleado'!$B$2:$B$236),""))</f>
        <v>Parmessano Unicentro Bogotá</v>
      </c>
    </row>
    <row r="840" spans="1:4" hidden="1" x14ac:dyDescent="0.45">
      <c r="A840" s="3">
        <v>1053326828</v>
      </c>
      <c r="B840" s="2" t="s">
        <v>1251</v>
      </c>
      <c r="C840" s="2" t="s">
        <v>473</v>
      </c>
      <c r="D840" s="10" t="str">
        <f>IFERROR(_xlfn.XLOOKUP($A840&amp;"",Hoja1!$C$2:$C$253,Hoja1!$D$2:$D$253),IFERROR(_xlfn.XLOOKUP($A840,'Sucursales Empleado'!$A$2:$A$236,'Sucursales Empleado'!$B$2:$B$236),""))</f>
        <v>Parmessano Unicentro Bogotá</v>
      </c>
    </row>
    <row r="841" spans="1:4" hidden="1" x14ac:dyDescent="0.45">
      <c r="A841" s="3">
        <v>1053326828</v>
      </c>
      <c r="B841" s="2" t="s">
        <v>39</v>
      </c>
      <c r="C841" s="2" t="s">
        <v>472</v>
      </c>
      <c r="D841" s="10" t="str">
        <f>IFERROR(_xlfn.XLOOKUP($A841&amp;"",Hoja1!$C$2:$C$253,Hoja1!$D$2:$D$253),IFERROR(_xlfn.XLOOKUP($A841,'Sucursales Empleado'!$A$2:$A$236,'Sucursales Empleado'!$B$2:$B$236),""))</f>
        <v>Parmessano Unicentro Bogotá</v>
      </c>
    </row>
    <row r="842" spans="1:4" hidden="1" x14ac:dyDescent="0.45">
      <c r="A842" s="3">
        <v>1053326828</v>
      </c>
      <c r="B842" s="2" t="s">
        <v>37</v>
      </c>
      <c r="C842" s="2" t="s">
        <v>473</v>
      </c>
      <c r="D842" s="10" t="str">
        <f>IFERROR(_xlfn.XLOOKUP($A842&amp;"",Hoja1!$C$2:$C$253,Hoja1!$D$2:$D$253),IFERROR(_xlfn.XLOOKUP($A842,'Sucursales Empleado'!$A$2:$A$236,'Sucursales Empleado'!$B$2:$B$236),""))</f>
        <v>Parmessano Unicentro Bogotá</v>
      </c>
    </row>
    <row r="843" spans="1:4" hidden="1" x14ac:dyDescent="0.45">
      <c r="A843" s="3">
        <v>1143235309</v>
      </c>
      <c r="B843" s="2" t="s">
        <v>42</v>
      </c>
      <c r="C843" s="2" t="s">
        <v>473</v>
      </c>
      <c r="D843" s="10" t="str">
        <f>IFERROR(_xlfn.XLOOKUP($A843&amp;"",Hoja1!$C$2:$C$253,Hoja1!$D$2:$D$253),IFERROR(_xlfn.XLOOKUP($A843,'Sucursales Empleado'!$A$2:$A$236,'Sucursales Empleado'!$B$2:$B$236),""))</f>
        <v>Parmessano Unicentro Bogotá</v>
      </c>
    </row>
    <row r="844" spans="1:4" hidden="1" x14ac:dyDescent="0.45">
      <c r="A844" s="3">
        <v>1143235309</v>
      </c>
      <c r="B844" s="2" t="s">
        <v>40</v>
      </c>
      <c r="C844" s="2" t="s">
        <v>472</v>
      </c>
      <c r="D844" s="10" t="str">
        <f>IFERROR(_xlfn.XLOOKUP($A844&amp;"",Hoja1!$C$2:$C$253,Hoja1!$D$2:$D$253),IFERROR(_xlfn.XLOOKUP($A844,'Sucursales Empleado'!$A$2:$A$236,'Sucursales Empleado'!$B$2:$B$236),""))</f>
        <v>Parmessano Unicentro Bogotá</v>
      </c>
    </row>
    <row r="845" spans="1:4" hidden="1" x14ac:dyDescent="0.45">
      <c r="A845" s="3">
        <v>1143235309</v>
      </c>
      <c r="B845" s="2" t="s">
        <v>41</v>
      </c>
      <c r="C845" s="2" t="s">
        <v>473</v>
      </c>
      <c r="D845" s="10" t="str">
        <f>IFERROR(_xlfn.XLOOKUP($A845&amp;"",Hoja1!$C$2:$C$253,Hoja1!$D$2:$D$253),IFERROR(_xlfn.XLOOKUP($A845,'Sucursales Empleado'!$A$2:$A$236,'Sucursales Empleado'!$B$2:$B$236),""))</f>
        <v>Parmessano Unicentro Bogotá</v>
      </c>
    </row>
    <row r="846" spans="1:4" hidden="1" x14ac:dyDescent="0.45">
      <c r="A846" s="3">
        <v>1143235309</v>
      </c>
      <c r="B846" s="2" t="s">
        <v>1251</v>
      </c>
      <c r="C846" s="2" t="s">
        <v>471</v>
      </c>
      <c r="D846" s="10" t="str">
        <f>IFERROR(_xlfn.XLOOKUP($A846&amp;"",Hoja1!$C$2:$C$253,Hoja1!$D$2:$D$253),IFERROR(_xlfn.XLOOKUP($A846,'Sucursales Empleado'!$A$2:$A$236,'Sucursales Empleado'!$B$2:$B$236),""))</f>
        <v>Parmessano Unicentro Bogotá</v>
      </c>
    </row>
    <row r="847" spans="1:4" hidden="1" x14ac:dyDescent="0.45">
      <c r="A847" s="3">
        <v>1143235309</v>
      </c>
      <c r="B847" s="2" t="s">
        <v>39</v>
      </c>
      <c r="C847" s="2" t="s">
        <v>473</v>
      </c>
      <c r="D847" s="10" t="str">
        <f>IFERROR(_xlfn.XLOOKUP($A847&amp;"",Hoja1!$C$2:$C$253,Hoja1!$D$2:$D$253),IFERROR(_xlfn.XLOOKUP($A847,'Sucursales Empleado'!$A$2:$A$236,'Sucursales Empleado'!$B$2:$B$236),""))</f>
        <v>Parmessano Unicentro Bogotá</v>
      </c>
    </row>
    <row r="848" spans="1:4" hidden="1" x14ac:dyDescent="0.45">
      <c r="A848" s="3">
        <v>1143235309</v>
      </c>
      <c r="B848" s="2" t="s">
        <v>37</v>
      </c>
      <c r="C848" s="2" t="s">
        <v>473</v>
      </c>
      <c r="D848" s="10" t="str">
        <f>IFERROR(_xlfn.XLOOKUP($A848&amp;"",Hoja1!$C$2:$C$253,Hoja1!$D$2:$D$253),IFERROR(_xlfn.XLOOKUP($A848,'Sucursales Empleado'!$A$2:$A$236,'Sucursales Empleado'!$B$2:$B$236),""))</f>
        <v>Parmessano Unicentro Bogotá</v>
      </c>
    </row>
    <row r="849" spans="1:4" hidden="1" x14ac:dyDescent="0.45">
      <c r="A849" s="3">
        <v>71257569</v>
      </c>
      <c r="B849" s="2" t="s">
        <v>53</v>
      </c>
      <c r="C849" s="2" t="s">
        <v>472</v>
      </c>
      <c r="D849" s="10" t="str">
        <f>IFERROR(_xlfn.XLOOKUP($A849&amp;"",Hoja1!$C$2:$C$253,Hoja1!$D$2:$D$253),IFERROR(_xlfn.XLOOKUP($A849,'Sucursales Empleado'!$A$2:$A$236,'Sucursales Empleado'!$B$2:$B$236),""))</f>
        <v>Parmessano Unicentro Bogotá</v>
      </c>
    </row>
    <row r="850" spans="1:4" hidden="1" x14ac:dyDescent="0.45">
      <c r="A850" s="3">
        <v>71257569</v>
      </c>
      <c r="B850" s="2" t="s">
        <v>1251</v>
      </c>
      <c r="C850" s="2" t="s">
        <v>472</v>
      </c>
      <c r="D850" s="10" t="str">
        <f>IFERROR(_xlfn.XLOOKUP($A850&amp;"",Hoja1!$C$2:$C$253,Hoja1!$D$2:$D$253),IFERROR(_xlfn.XLOOKUP($A850,'Sucursales Empleado'!$A$2:$A$236,'Sucursales Empleado'!$B$2:$B$236),""))</f>
        <v>Parmessano Unicentro Bogotá</v>
      </c>
    </row>
    <row r="851" spans="1:4" hidden="1" x14ac:dyDescent="0.45">
      <c r="A851" s="3">
        <v>71257569</v>
      </c>
      <c r="B851" s="2" t="s">
        <v>1253</v>
      </c>
      <c r="C851" s="2" t="s">
        <v>472</v>
      </c>
      <c r="D851" s="10" t="str">
        <f>IFERROR(_xlfn.XLOOKUP($A851&amp;"",Hoja1!$C$2:$C$253,Hoja1!$D$2:$D$253),IFERROR(_xlfn.XLOOKUP($A851,'Sucursales Empleado'!$A$2:$A$236,'Sucursales Empleado'!$B$2:$B$236),""))</f>
        <v>Parmessano Unicentro Bogotá</v>
      </c>
    </row>
    <row r="852" spans="1:4" hidden="1" x14ac:dyDescent="0.45">
      <c r="A852" s="3">
        <v>1019114815</v>
      </c>
      <c r="B852" s="2" t="s">
        <v>50</v>
      </c>
      <c r="C852" s="2" t="s">
        <v>472</v>
      </c>
      <c r="D852" s="10" t="str">
        <f>IFERROR(_xlfn.XLOOKUP($A852&amp;"",Hoja1!$C$2:$C$253,Hoja1!$D$2:$D$253),IFERROR(_xlfn.XLOOKUP($A852,'Sucursales Empleado'!$A$2:$A$236,'Sucursales Empleado'!$B$2:$B$236),""))</f>
        <v>Parmessano Unicentro Bogotá</v>
      </c>
    </row>
    <row r="853" spans="1:4" hidden="1" x14ac:dyDescent="0.45">
      <c r="A853" s="3">
        <v>1019114815</v>
      </c>
      <c r="B853" s="2" t="s">
        <v>1254</v>
      </c>
      <c r="C853" s="2" t="s">
        <v>472</v>
      </c>
      <c r="D853" s="10" t="str">
        <f>IFERROR(_xlfn.XLOOKUP($A853&amp;"",Hoja1!$C$2:$C$253,Hoja1!$D$2:$D$253),IFERROR(_xlfn.XLOOKUP($A853,'Sucursales Empleado'!$A$2:$A$236,'Sucursales Empleado'!$B$2:$B$236),""))</f>
        <v>Parmessano Unicentro Bogotá</v>
      </c>
    </row>
    <row r="854" spans="1:4" hidden="1" x14ac:dyDescent="0.45">
      <c r="A854" s="3">
        <v>1019114815</v>
      </c>
      <c r="B854" s="2" t="s">
        <v>51</v>
      </c>
      <c r="C854" s="2" t="s">
        <v>472</v>
      </c>
      <c r="D854" s="10" t="str">
        <f>IFERROR(_xlfn.XLOOKUP($A854&amp;"",Hoja1!$C$2:$C$253,Hoja1!$D$2:$D$253),IFERROR(_xlfn.XLOOKUP($A854,'Sucursales Empleado'!$A$2:$A$236,'Sucursales Empleado'!$B$2:$B$236),""))</f>
        <v>Parmessano Unicentro Bogotá</v>
      </c>
    </row>
    <row r="855" spans="1:4" hidden="1" x14ac:dyDescent="0.45">
      <c r="A855" s="3">
        <v>1000719280</v>
      </c>
      <c r="B855" s="2" t="s">
        <v>53</v>
      </c>
      <c r="C855" s="2" t="s">
        <v>472</v>
      </c>
      <c r="D855" s="10" t="str">
        <f>IFERROR(_xlfn.XLOOKUP($A855&amp;"",Hoja1!$C$2:$C$253,Hoja1!$D$2:$D$253),IFERROR(_xlfn.XLOOKUP($A855,'Sucursales Empleado'!$A$2:$A$236,'Sucursales Empleado'!$B$2:$B$236),""))</f>
        <v>Parmessano Unicentro Bogotá</v>
      </c>
    </row>
    <row r="856" spans="1:4" hidden="1" x14ac:dyDescent="0.45">
      <c r="A856" s="3">
        <v>1000719280</v>
      </c>
      <c r="B856" s="2" t="s">
        <v>1251</v>
      </c>
      <c r="C856" s="2" t="s">
        <v>472</v>
      </c>
      <c r="D856" s="10" t="str">
        <f>IFERROR(_xlfn.XLOOKUP($A856&amp;"",Hoja1!$C$2:$C$253,Hoja1!$D$2:$D$253),IFERROR(_xlfn.XLOOKUP($A856,'Sucursales Empleado'!$A$2:$A$236,'Sucursales Empleado'!$B$2:$B$236),""))</f>
        <v>Parmessano Unicentro Bogotá</v>
      </c>
    </row>
    <row r="857" spans="1:4" hidden="1" x14ac:dyDescent="0.45">
      <c r="A857" s="3">
        <v>1000719280</v>
      </c>
      <c r="B857" s="2" t="s">
        <v>1253</v>
      </c>
      <c r="C857" s="2" t="s">
        <v>472</v>
      </c>
      <c r="D857" s="10" t="str">
        <f>IFERROR(_xlfn.XLOOKUP($A857&amp;"",Hoja1!$C$2:$C$253,Hoja1!$D$2:$D$253),IFERROR(_xlfn.XLOOKUP($A857,'Sucursales Empleado'!$A$2:$A$236,'Sucursales Empleado'!$B$2:$B$236),""))</f>
        <v>Parmessano Unicentro Bogotá</v>
      </c>
    </row>
    <row r="858" spans="1:4" hidden="1" x14ac:dyDescent="0.45">
      <c r="A858" s="3">
        <v>7552517</v>
      </c>
      <c r="B858" s="2" t="s">
        <v>50</v>
      </c>
      <c r="C858" s="2" t="s">
        <v>472</v>
      </c>
      <c r="D858" s="10" t="str">
        <f>IFERROR(_xlfn.XLOOKUP($A858&amp;"",Hoja1!$C$2:$C$253,Hoja1!$D$2:$D$253),IFERROR(_xlfn.XLOOKUP($A858,'Sucursales Empleado'!$A$2:$A$236,'Sucursales Empleado'!$B$2:$B$236),""))</f>
        <v>Parmessano Unicentro Bogotá</v>
      </c>
    </row>
    <row r="859" spans="1:4" hidden="1" x14ac:dyDescent="0.45">
      <c r="A859" s="3">
        <v>7552517</v>
      </c>
      <c r="B859" s="2" t="s">
        <v>1253</v>
      </c>
      <c r="C859" s="2" t="s">
        <v>472</v>
      </c>
      <c r="D859" s="10" t="str">
        <f>IFERROR(_xlfn.XLOOKUP($A859&amp;"",Hoja1!$C$2:$C$253,Hoja1!$D$2:$D$253),IFERROR(_xlfn.XLOOKUP($A859,'Sucursales Empleado'!$A$2:$A$236,'Sucursales Empleado'!$B$2:$B$236),""))</f>
        <v>Parmessano Unicentro Bogotá</v>
      </c>
    </row>
    <row r="860" spans="1:4" hidden="1" x14ac:dyDescent="0.45">
      <c r="A860" s="3">
        <v>7552517</v>
      </c>
      <c r="B860" s="2" t="s">
        <v>51</v>
      </c>
      <c r="C860" s="2" t="s">
        <v>472</v>
      </c>
      <c r="D860" s="10" t="str">
        <f>IFERROR(_xlfn.XLOOKUP($A860&amp;"",Hoja1!$C$2:$C$253,Hoja1!$D$2:$D$253),IFERROR(_xlfn.XLOOKUP($A860,'Sucursales Empleado'!$A$2:$A$236,'Sucursales Empleado'!$B$2:$B$236),""))</f>
        <v>Parmessano Unicentro Bogotá</v>
      </c>
    </row>
    <row r="861" spans="1:4" hidden="1" x14ac:dyDescent="0.45">
      <c r="A861" s="3">
        <v>79528359</v>
      </c>
      <c r="B861" s="2" t="s">
        <v>53</v>
      </c>
      <c r="C861" s="2" t="s">
        <v>472</v>
      </c>
      <c r="D861" s="10" t="str">
        <f>IFERROR(_xlfn.XLOOKUP($A861&amp;"",Hoja1!$C$2:$C$253,Hoja1!$D$2:$D$253),IFERROR(_xlfn.XLOOKUP($A861,'Sucursales Empleado'!$A$2:$A$236,'Sucursales Empleado'!$B$2:$B$236),""))</f>
        <v>Parmessano Unicentro Bogotá</v>
      </c>
    </row>
    <row r="862" spans="1:4" hidden="1" x14ac:dyDescent="0.45">
      <c r="A862" s="3">
        <v>79528359</v>
      </c>
      <c r="B862" s="2" t="s">
        <v>1251</v>
      </c>
      <c r="C862" s="2" t="s">
        <v>472</v>
      </c>
      <c r="D862" s="10" t="str">
        <f>IFERROR(_xlfn.XLOOKUP($A862&amp;"",Hoja1!$C$2:$C$253,Hoja1!$D$2:$D$253),IFERROR(_xlfn.XLOOKUP($A862,'Sucursales Empleado'!$A$2:$A$236,'Sucursales Empleado'!$B$2:$B$236),""))</f>
        <v>Parmessano Unicentro Bogotá</v>
      </c>
    </row>
    <row r="863" spans="1:4" hidden="1" x14ac:dyDescent="0.45">
      <c r="A863" s="3">
        <v>79528359</v>
      </c>
      <c r="B863" s="2" t="s">
        <v>1253</v>
      </c>
      <c r="C863" s="2" t="s">
        <v>472</v>
      </c>
      <c r="D863" s="10" t="str">
        <f>IFERROR(_xlfn.XLOOKUP($A863&amp;"",Hoja1!$C$2:$C$253,Hoja1!$D$2:$D$253),IFERROR(_xlfn.XLOOKUP($A863,'Sucursales Empleado'!$A$2:$A$236,'Sucursales Empleado'!$B$2:$B$236),""))</f>
        <v>Parmessano Unicentro Bogotá</v>
      </c>
    </row>
    <row r="864" spans="1:4" hidden="1" x14ac:dyDescent="0.45">
      <c r="A864" s="3">
        <v>79523179</v>
      </c>
      <c r="B864" s="2" t="s">
        <v>53</v>
      </c>
      <c r="C864" s="2" t="s">
        <v>472</v>
      </c>
      <c r="D864" s="10" t="str">
        <f>IFERROR(_xlfn.XLOOKUP($A864&amp;"",Hoja1!$C$2:$C$253,Hoja1!$D$2:$D$253),IFERROR(_xlfn.XLOOKUP($A864,'Sucursales Empleado'!$A$2:$A$236,'Sucursales Empleado'!$B$2:$B$236),""))</f>
        <v>Parmessano Unicentro Bogotá</v>
      </c>
    </row>
    <row r="865" spans="1:4" hidden="1" x14ac:dyDescent="0.45">
      <c r="A865" s="3">
        <v>79523179</v>
      </c>
      <c r="B865" s="2" t="s">
        <v>1251</v>
      </c>
      <c r="C865" s="2" t="s">
        <v>472</v>
      </c>
      <c r="D865" s="10" t="str">
        <f>IFERROR(_xlfn.XLOOKUP($A865&amp;"",Hoja1!$C$2:$C$253,Hoja1!$D$2:$D$253),IFERROR(_xlfn.XLOOKUP($A865,'Sucursales Empleado'!$A$2:$A$236,'Sucursales Empleado'!$B$2:$B$236),""))</f>
        <v>Parmessano Unicentro Bogotá</v>
      </c>
    </row>
    <row r="866" spans="1:4" hidden="1" x14ac:dyDescent="0.45">
      <c r="A866" s="3">
        <v>79523179</v>
      </c>
      <c r="B866" s="2" t="s">
        <v>1253</v>
      </c>
      <c r="C866" s="2" t="s">
        <v>472</v>
      </c>
      <c r="D866" s="10" t="str">
        <f>IFERROR(_xlfn.XLOOKUP($A866&amp;"",Hoja1!$C$2:$C$253,Hoja1!$D$2:$D$253),IFERROR(_xlfn.XLOOKUP($A866,'Sucursales Empleado'!$A$2:$A$236,'Sucursales Empleado'!$B$2:$B$236),""))</f>
        <v>Parmessano Unicentro Bogotá</v>
      </c>
    </row>
    <row r="867" spans="1:4" hidden="1" x14ac:dyDescent="0.45">
      <c r="A867" s="3">
        <v>1106890899</v>
      </c>
      <c r="B867" s="2" t="s">
        <v>47</v>
      </c>
      <c r="C867" s="2" t="s">
        <v>472</v>
      </c>
      <c r="D867" s="10" t="str">
        <f>IFERROR(_xlfn.XLOOKUP($A867&amp;"",Hoja1!$C$2:$C$253,Hoja1!$D$2:$D$253),IFERROR(_xlfn.XLOOKUP($A867,'Sucursales Empleado'!$A$2:$A$236,'Sucursales Empleado'!$B$2:$B$236),""))</f>
        <v>Parmessano Unicentro Bogotá</v>
      </c>
    </row>
    <row r="868" spans="1:4" hidden="1" x14ac:dyDescent="0.45">
      <c r="A868" s="3">
        <v>1106890899</v>
      </c>
      <c r="B868" s="2" t="s">
        <v>48</v>
      </c>
      <c r="C868" s="2" t="s">
        <v>472</v>
      </c>
      <c r="D868" s="10" t="str">
        <f>IFERROR(_xlfn.XLOOKUP($A868&amp;"",Hoja1!$C$2:$C$253,Hoja1!$D$2:$D$253),IFERROR(_xlfn.XLOOKUP($A868,'Sucursales Empleado'!$A$2:$A$236,'Sucursales Empleado'!$B$2:$B$236),""))</f>
        <v>Parmessano Unicentro Bogotá</v>
      </c>
    </row>
    <row r="869" spans="1:4" hidden="1" x14ac:dyDescent="0.45">
      <c r="A869" s="3">
        <v>1033677495</v>
      </c>
      <c r="B869" s="2" t="s">
        <v>53</v>
      </c>
      <c r="C869" s="2" t="s">
        <v>472</v>
      </c>
      <c r="D869" s="10" t="str">
        <f>IFERROR(_xlfn.XLOOKUP($A869&amp;"",Hoja1!$C$2:$C$253,Hoja1!$D$2:$D$253),IFERROR(_xlfn.XLOOKUP($A869,'Sucursales Empleado'!$A$2:$A$236,'Sucursales Empleado'!$B$2:$B$236),""))</f>
        <v>Parmessano Unicentro Bogotá</v>
      </c>
    </row>
    <row r="870" spans="1:4" hidden="1" x14ac:dyDescent="0.45">
      <c r="A870" s="3">
        <v>1033677495</v>
      </c>
      <c r="B870" s="2" t="s">
        <v>1251</v>
      </c>
      <c r="C870" s="2" t="s">
        <v>472</v>
      </c>
      <c r="D870" s="10" t="str">
        <f>IFERROR(_xlfn.XLOOKUP($A870&amp;"",Hoja1!$C$2:$C$253,Hoja1!$D$2:$D$253),IFERROR(_xlfn.XLOOKUP($A870,'Sucursales Empleado'!$A$2:$A$236,'Sucursales Empleado'!$B$2:$B$236),""))</f>
        <v>Parmessano Unicentro Bogotá</v>
      </c>
    </row>
    <row r="871" spans="1:4" hidden="1" x14ac:dyDescent="0.45">
      <c r="A871" s="3">
        <v>1033677495</v>
      </c>
      <c r="B871" s="2" t="s">
        <v>1253</v>
      </c>
      <c r="C871" s="2" t="s">
        <v>472</v>
      </c>
      <c r="D871" s="10" t="str">
        <f>IFERROR(_xlfn.XLOOKUP($A871&amp;"",Hoja1!$C$2:$C$253,Hoja1!$D$2:$D$253),IFERROR(_xlfn.XLOOKUP($A871,'Sucursales Empleado'!$A$2:$A$236,'Sucursales Empleado'!$B$2:$B$236),""))</f>
        <v>Parmessano Unicentro Bogotá</v>
      </c>
    </row>
    <row r="872" spans="1:4" hidden="1" x14ac:dyDescent="0.45">
      <c r="A872" s="3">
        <v>1019118387</v>
      </c>
      <c r="B872" s="2" t="s">
        <v>55</v>
      </c>
      <c r="C872" s="2" t="s">
        <v>472</v>
      </c>
      <c r="D872" s="10" t="str">
        <f>IFERROR(_xlfn.XLOOKUP($A872&amp;"",Hoja1!$C$2:$C$253,Hoja1!$D$2:$D$253),IFERROR(_xlfn.XLOOKUP($A872,'Sucursales Empleado'!$A$2:$A$236,'Sucursales Empleado'!$B$2:$B$236),""))</f>
        <v>Parmessano Unicentro Bogotá</v>
      </c>
    </row>
    <row r="873" spans="1:4" hidden="1" x14ac:dyDescent="0.45">
      <c r="A873" s="3">
        <v>5154768</v>
      </c>
      <c r="B873" s="2" t="s">
        <v>53</v>
      </c>
      <c r="C873" s="2" t="s">
        <v>472</v>
      </c>
      <c r="D873" s="10" t="str">
        <f>IFERROR(_xlfn.XLOOKUP($A873&amp;"",Hoja1!$C$2:$C$253,Hoja1!$D$2:$D$253),IFERROR(_xlfn.XLOOKUP($A873,'Sucursales Empleado'!$A$2:$A$236,'Sucursales Empleado'!$B$2:$B$236),""))</f>
        <v>Parmessano Unicentro Bogotá</v>
      </c>
    </row>
    <row r="874" spans="1:4" hidden="1" x14ac:dyDescent="0.45">
      <c r="A874" s="3">
        <v>5154768</v>
      </c>
      <c r="B874" s="2" t="s">
        <v>1251</v>
      </c>
      <c r="C874" s="2" t="s">
        <v>472</v>
      </c>
      <c r="D874" s="10" t="str">
        <f>IFERROR(_xlfn.XLOOKUP($A874&amp;"",Hoja1!$C$2:$C$253,Hoja1!$D$2:$D$253),IFERROR(_xlfn.XLOOKUP($A874,'Sucursales Empleado'!$A$2:$A$236,'Sucursales Empleado'!$B$2:$B$236),""))</f>
        <v>Parmessano Unicentro Bogotá</v>
      </c>
    </row>
    <row r="875" spans="1:4" hidden="1" x14ac:dyDescent="0.45">
      <c r="A875" s="3">
        <v>5154768</v>
      </c>
      <c r="B875" s="2" t="s">
        <v>1253</v>
      </c>
      <c r="C875" s="2" t="s">
        <v>472</v>
      </c>
      <c r="D875" s="10" t="str">
        <f>IFERROR(_xlfn.XLOOKUP($A875&amp;"",Hoja1!$C$2:$C$253,Hoja1!$D$2:$D$253),IFERROR(_xlfn.XLOOKUP($A875,'Sucursales Empleado'!$A$2:$A$236,'Sucursales Empleado'!$B$2:$B$236),""))</f>
        <v>Parmessano Unicentro Bogotá</v>
      </c>
    </row>
    <row r="876" spans="1:4" hidden="1" x14ac:dyDescent="0.45">
      <c r="A876" s="3">
        <v>1000470480</v>
      </c>
      <c r="B876" s="2" t="s">
        <v>47</v>
      </c>
      <c r="C876" s="2" t="s">
        <v>472</v>
      </c>
      <c r="D876" s="10" t="str">
        <f>IFERROR(_xlfn.XLOOKUP($A876&amp;"",Hoja1!$C$2:$C$253,Hoja1!$D$2:$D$253),IFERROR(_xlfn.XLOOKUP($A876,'Sucursales Empleado'!$A$2:$A$236,'Sucursales Empleado'!$B$2:$B$236),""))</f>
        <v>Parmessano Unicentro Bogotá</v>
      </c>
    </row>
    <row r="877" spans="1:4" hidden="1" x14ac:dyDescent="0.45">
      <c r="A877" s="3">
        <v>1000470480</v>
      </c>
      <c r="B877" s="2" t="s">
        <v>48</v>
      </c>
      <c r="C877" s="2" t="s">
        <v>472</v>
      </c>
      <c r="D877" s="10" t="str">
        <f>IFERROR(_xlfn.XLOOKUP($A877&amp;"",Hoja1!$C$2:$C$253,Hoja1!$D$2:$D$253),IFERROR(_xlfn.XLOOKUP($A877,'Sucursales Empleado'!$A$2:$A$236,'Sucursales Empleado'!$B$2:$B$236),""))</f>
        <v>Parmessano Unicentro Bogotá</v>
      </c>
    </row>
    <row r="878" spans="1:4" hidden="1" x14ac:dyDescent="0.45">
      <c r="A878" s="3">
        <v>80179187</v>
      </c>
      <c r="B878" s="2" t="s">
        <v>53</v>
      </c>
      <c r="C878" s="2" t="s">
        <v>472</v>
      </c>
      <c r="D878" s="10" t="str">
        <f>IFERROR(_xlfn.XLOOKUP($A878&amp;"",Hoja1!$C$2:$C$253,Hoja1!$D$2:$D$253),IFERROR(_xlfn.XLOOKUP($A878,'Sucursales Empleado'!$A$2:$A$236,'Sucursales Empleado'!$B$2:$B$236),""))</f>
        <v>Parmessano Unicentro Bogotá</v>
      </c>
    </row>
    <row r="879" spans="1:4" hidden="1" x14ac:dyDescent="0.45">
      <c r="A879" s="3">
        <v>80179187</v>
      </c>
      <c r="B879" s="2" t="s">
        <v>1251</v>
      </c>
      <c r="C879" s="2" t="s">
        <v>472</v>
      </c>
      <c r="D879" s="10" t="str">
        <f>IFERROR(_xlfn.XLOOKUP($A879&amp;"",Hoja1!$C$2:$C$253,Hoja1!$D$2:$D$253),IFERROR(_xlfn.XLOOKUP($A879,'Sucursales Empleado'!$A$2:$A$236,'Sucursales Empleado'!$B$2:$B$236),""))</f>
        <v>Parmessano Unicentro Bogotá</v>
      </c>
    </row>
    <row r="880" spans="1:4" hidden="1" x14ac:dyDescent="0.45">
      <c r="A880" s="3">
        <v>80179187</v>
      </c>
      <c r="B880" s="2" t="s">
        <v>1253</v>
      </c>
      <c r="C880" s="2" t="s">
        <v>472</v>
      </c>
      <c r="D880" s="10" t="str">
        <f>IFERROR(_xlfn.XLOOKUP($A880&amp;"",Hoja1!$C$2:$C$253,Hoja1!$D$2:$D$253),IFERROR(_xlfn.XLOOKUP($A880,'Sucursales Empleado'!$A$2:$A$236,'Sucursales Empleado'!$B$2:$B$236),""))</f>
        <v>Parmessano Unicentro Bogotá</v>
      </c>
    </row>
    <row r="881" spans="1:4" hidden="1" x14ac:dyDescent="0.45">
      <c r="A881" s="3">
        <v>8796744</v>
      </c>
      <c r="B881" s="2" t="s">
        <v>53</v>
      </c>
      <c r="C881" s="2" t="s">
        <v>472</v>
      </c>
      <c r="D881" s="10" t="str">
        <f>IFERROR(_xlfn.XLOOKUP($A881&amp;"",Hoja1!$C$2:$C$253,Hoja1!$D$2:$D$253),IFERROR(_xlfn.XLOOKUP($A881,'Sucursales Empleado'!$A$2:$A$236,'Sucursales Empleado'!$B$2:$B$236),""))</f>
        <v>Parmessano Unicentro Bogotá</v>
      </c>
    </row>
    <row r="882" spans="1:4" hidden="1" x14ac:dyDescent="0.45">
      <c r="A882" s="3">
        <v>8796744</v>
      </c>
      <c r="B882" s="2" t="s">
        <v>1251</v>
      </c>
      <c r="C882" s="2" t="s">
        <v>472</v>
      </c>
      <c r="D882" s="10" t="str">
        <f>IFERROR(_xlfn.XLOOKUP($A882&amp;"",Hoja1!$C$2:$C$253,Hoja1!$D$2:$D$253),IFERROR(_xlfn.XLOOKUP($A882,'Sucursales Empleado'!$A$2:$A$236,'Sucursales Empleado'!$B$2:$B$236),""))</f>
        <v>Parmessano Unicentro Bogotá</v>
      </c>
    </row>
    <row r="883" spans="1:4" hidden="1" x14ac:dyDescent="0.45">
      <c r="A883" s="3">
        <v>8796744</v>
      </c>
      <c r="B883" s="2" t="s">
        <v>1253</v>
      </c>
      <c r="C883" s="2" t="s">
        <v>472</v>
      </c>
      <c r="D883" s="10" t="str">
        <f>IFERROR(_xlfn.XLOOKUP($A883&amp;"",Hoja1!$C$2:$C$253,Hoja1!$D$2:$D$253),IFERROR(_xlfn.XLOOKUP($A883,'Sucursales Empleado'!$A$2:$A$236,'Sucursales Empleado'!$B$2:$B$236),""))</f>
        <v>Parmessano Unicentro Bogotá</v>
      </c>
    </row>
    <row r="884" spans="1:4" hidden="1" x14ac:dyDescent="0.45">
      <c r="A884" s="3">
        <v>1111196583</v>
      </c>
      <c r="B884" s="2" t="s">
        <v>53</v>
      </c>
      <c r="C884" s="2" t="s">
        <v>472</v>
      </c>
      <c r="D884" s="10" t="str">
        <f>IFERROR(_xlfn.XLOOKUP($A884&amp;"",Hoja1!$C$2:$C$253,Hoja1!$D$2:$D$253),IFERROR(_xlfn.XLOOKUP($A884,'Sucursales Empleado'!$A$2:$A$236,'Sucursales Empleado'!$B$2:$B$236),""))</f>
        <v>Parmessano Unicentro Bogotá</v>
      </c>
    </row>
    <row r="885" spans="1:4" hidden="1" x14ac:dyDescent="0.45">
      <c r="A885" s="3">
        <v>1111196583</v>
      </c>
      <c r="B885" s="2" t="s">
        <v>1251</v>
      </c>
      <c r="C885" s="2" t="s">
        <v>472</v>
      </c>
      <c r="D885" s="10" t="str">
        <f>IFERROR(_xlfn.XLOOKUP($A885&amp;"",Hoja1!$C$2:$C$253,Hoja1!$D$2:$D$253),IFERROR(_xlfn.XLOOKUP($A885,'Sucursales Empleado'!$A$2:$A$236,'Sucursales Empleado'!$B$2:$B$236),""))</f>
        <v>Parmessano Unicentro Bogotá</v>
      </c>
    </row>
    <row r="886" spans="1:4" hidden="1" x14ac:dyDescent="0.45">
      <c r="A886" s="3">
        <v>1111196583</v>
      </c>
      <c r="B886" s="2" t="s">
        <v>1253</v>
      </c>
      <c r="C886" s="2" t="s">
        <v>472</v>
      </c>
      <c r="D886" s="10" t="str">
        <f>IFERROR(_xlfn.XLOOKUP($A886&amp;"",Hoja1!$C$2:$C$253,Hoja1!$D$2:$D$253),IFERROR(_xlfn.XLOOKUP($A886,'Sucursales Empleado'!$A$2:$A$236,'Sucursales Empleado'!$B$2:$B$236),""))</f>
        <v>Parmessano Unicentro Bogotá</v>
      </c>
    </row>
    <row r="887" spans="1:4" hidden="1" x14ac:dyDescent="0.45">
      <c r="A887" s="3">
        <v>1054226084</v>
      </c>
      <c r="B887" s="2" t="s">
        <v>47</v>
      </c>
      <c r="C887" s="2" t="s">
        <v>472</v>
      </c>
      <c r="D887" s="10" t="str">
        <f>IFERROR(_xlfn.XLOOKUP($A887&amp;"",Hoja1!$C$2:$C$253,Hoja1!$D$2:$D$253),IFERROR(_xlfn.XLOOKUP($A887,'Sucursales Empleado'!$A$2:$A$236,'Sucursales Empleado'!$B$2:$B$236),""))</f>
        <v>Parmessano Unicentro Bogotá</v>
      </c>
    </row>
    <row r="888" spans="1:4" hidden="1" x14ac:dyDescent="0.45">
      <c r="A888" s="3">
        <v>1054226084</v>
      </c>
      <c r="B888" s="2" t="s">
        <v>48</v>
      </c>
      <c r="C888" s="2" t="s">
        <v>472</v>
      </c>
      <c r="D888" s="10" t="str">
        <f>IFERROR(_xlfn.XLOOKUP($A888&amp;"",Hoja1!$C$2:$C$253,Hoja1!$D$2:$D$253),IFERROR(_xlfn.XLOOKUP($A888,'Sucursales Empleado'!$A$2:$A$236,'Sucursales Empleado'!$B$2:$B$236),""))</f>
        <v>Parmessano Unicentro Bogotá</v>
      </c>
    </row>
    <row r="889" spans="1:4" hidden="1" x14ac:dyDescent="0.45">
      <c r="A889" s="3">
        <v>1003656301</v>
      </c>
      <c r="B889" s="2" t="s">
        <v>55</v>
      </c>
      <c r="C889" s="2" t="s">
        <v>473</v>
      </c>
      <c r="D889" s="10" t="str">
        <f>IFERROR(_xlfn.XLOOKUP($A889&amp;"",Hoja1!$C$2:$C$253,Hoja1!$D$2:$D$253),IFERROR(_xlfn.XLOOKUP($A889,'Sucursales Empleado'!$A$2:$A$236,'Sucursales Empleado'!$B$2:$B$236),""))</f>
        <v>Parmessano Unicentro Bogotá</v>
      </c>
    </row>
    <row r="890" spans="1:4" hidden="1" x14ac:dyDescent="0.45">
      <c r="A890" s="3">
        <v>1050693310</v>
      </c>
      <c r="B890" s="2" t="s">
        <v>53</v>
      </c>
      <c r="C890" s="2" t="s">
        <v>472</v>
      </c>
      <c r="D890" s="10" t="str">
        <f>IFERROR(_xlfn.XLOOKUP($A890&amp;"",Hoja1!$C$2:$C$253,Hoja1!$D$2:$D$253),IFERROR(_xlfn.XLOOKUP($A890,'Sucursales Empleado'!$A$2:$A$236,'Sucursales Empleado'!$B$2:$B$236),""))</f>
        <v>Parmessano Unicentro Bogotá</v>
      </c>
    </row>
    <row r="891" spans="1:4" hidden="1" x14ac:dyDescent="0.45">
      <c r="A891" s="3">
        <v>1050693310</v>
      </c>
      <c r="B891" s="2" t="s">
        <v>1251</v>
      </c>
      <c r="C891" s="2" t="s">
        <v>472</v>
      </c>
      <c r="D891" s="10" t="str">
        <f>IFERROR(_xlfn.XLOOKUP($A891&amp;"",Hoja1!$C$2:$C$253,Hoja1!$D$2:$D$253),IFERROR(_xlfn.XLOOKUP($A891,'Sucursales Empleado'!$A$2:$A$236,'Sucursales Empleado'!$B$2:$B$236),""))</f>
        <v>Parmessano Unicentro Bogotá</v>
      </c>
    </row>
    <row r="892" spans="1:4" hidden="1" x14ac:dyDescent="0.45">
      <c r="A892" s="3">
        <v>1050693310</v>
      </c>
      <c r="B892" s="2" t="s">
        <v>1253</v>
      </c>
      <c r="C892" s="2" t="s">
        <v>472</v>
      </c>
      <c r="D892" s="10" t="str">
        <f>IFERROR(_xlfn.XLOOKUP($A892&amp;"",Hoja1!$C$2:$C$253,Hoja1!$D$2:$D$253),IFERROR(_xlfn.XLOOKUP($A892,'Sucursales Empleado'!$A$2:$A$236,'Sucursales Empleado'!$B$2:$B$236),""))</f>
        <v>Parmessano Unicentro Bogotá</v>
      </c>
    </row>
    <row r="893" spans="1:4" hidden="1" x14ac:dyDescent="0.45">
      <c r="A893" s="3">
        <v>1030631143</v>
      </c>
      <c r="B893" s="2" t="s">
        <v>53</v>
      </c>
      <c r="C893" s="2" t="s">
        <v>473</v>
      </c>
      <c r="D893" s="10" t="str">
        <f>IFERROR(_xlfn.XLOOKUP($A893&amp;"",Hoja1!$C$2:$C$253,Hoja1!$D$2:$D$253),IFERROR(_xlfn.XLOOKUP($A893,'Sucursales Empleado'!$A$2:$A$236,'Sucursales Empleado'!$B$2:$B$236),""))</f>
        <v>Parmessano Unicentro Bogotá</v>
      </c>
    </row>
    <row r="894" spans="1:4" hidden="1" x14ac:dyDescent="0.45">
      <c r="A894" s="3">
        <v>1030631143</v>
      </c>
      <c r="B894" s="2" t="s">
        <v>1251</v>
      </c>
      <c r="C894" s="2" t="s">
        <v>473</v>
      </c>
      <c r="D894" s="10" t="str">
        <f>IFERROR(_xlfn.XLOOKUP($A894&amp;"",Hoja1!$C$2:$C$253,Hoja1!$D$2:$D$253),IFERROR(_xlfn.XLOOKUP($A894,'Sucursales Empleado'!$A$2:$A$236,'Sucursales Empleado'!$B$2:$B$236),""))</f>
        <v>Parmessano Unicentro Bogotá</v>
      </c>
    </row>
    <row r="895" spans="1:4" hidden="1" x14ac:dyDescent="0.45">
      <c r="A895" s="3">
        <v>1030631143</v>
      </c>
      <c r="B895" s="2" t="s">
        <v>1253</v>
      </c>
      <c r="C895" s="2" t="s">
        <v>473</v>
      </c>
      <c r="D895" s="10" t="str">
        <f>IFERROR(_xlfn.XLOOKUP($A895&amp;"",Hoja1!$C$2:$C$253,Hoja1!$D$2:$D$253),IFERROR(_xlfn.XLOOKUP($A895,'Sucursales Empleado'!$A$2:$A$236,'Sucursales Empleado'!$B$2:$B$236),""))</f>
        <v>Parmessano Unicentro Bogotá</v>
      </c>
    </row>
    <row r="896" spans="1:4" hidden="1" x14ac:dyDescent="0.45">
      <c r="A896" s="3">
        <v>1014241497</v>
      </c>
      <c r="B896" s="2" t="s">
        <v>50</v>
      </c>
      <c r="C896" s="2" t="s">
        <v>472</v>
      </c>
      <c r="D896" s="10" t="str">
        <f>IFERROR(_xlfn.XLOOKUP($A896&amp;"",Hoja1!$C$2:$C$253,Hoja1!$D$2:$D$253),IFERROR(_xlfn.XLOOKUP($A896,'Sucursales Empleado'!$A$2:$A$236,'Sucursales Empleado'!$B$2:$B$236),""))</f>
        <v>Parmessano Unicentro Bogotá</v>
      </c>
    </row>
    <row r="897" spans="1:4" hidden="1" x14ac:dyDescent="0.45">
      <c r="A897" s="3">
        <v>1014241497</v>
      </c>
      <c r="B897" s="2" t="s">
        <v>1254</v>
      </c>
      <c r="C897" s="2" t="s">
        <v>472</v>
      </c>
      <c r="D897" s="10" t="str">
        <f>IFERROR(_xlfn.XLOOKUP($A897&amp;"",Hoja1!$C$2:$C$253,Hoja1!$D$2:$D$253),IFERROR(_xlfn.XLOOKUP($A897,'Sucursales Empleado'!$A$2:$A$236,'Sucursales Empleado'!$B$2:$B$236),""))</f>
        <v>Parmessano Unicentro Bogotá</v>
      </c>
    </row>
    <row r="898" spans="1:4" hidden="1" x14ac:dyDescent="0.45">
      <c r="A898" s="3">
        <v>1014241497</v>
      </c>
      <c r="B898" s="2" t="s">
        <v>51</v>
      </c>
      <c r="C898" s="2" t="s">
        <v>472</v>
      </c>
      <c r="D898" s="10" t="str">
        <f>IFERROR(_xlfn.XLOOKUP($A898&amp;"",Hoja1!$C$2:$C$253,Hoja1!$D$2:$D$253),IFERROR(_xlfn.XLOOKUP($A898,'Sucursales Empleado'!$A$2:$A$236,'Sucursales Empleado'!$B$2:$B$236),""))</f>
        <v>Parmessano Unicentro Bogotá</v>
      </c>
    </row>
    <row r="899" spans="1:4" hidden="1" x14ac:dyDescent="0.45">
      <c r="A899" s="3">
        <v>1041440333</v>
      </c>
      <c r="B899" s="2" t="s">
        <v>53</v>
      </c>
      <c r="C899" s="2" t="s">
        <v>471</v>
      </c>
      <c r="D899" s="10" t="str">
        <f>IFERROR(_xlfn.XLOOKUP($A899&amp;"",Hoja1!$C$2:$C$253,Hoja1!$D$2:$D$253),IFERROR(_xlfn.XLOOKUP($A899,'Sucursales Empleado'!$A$2:$A$236,'Sucursales Empleado'!$B$2:$B$236),""))</f>
        <v>Parmessano Unicentro Bogotá</v>
      </c>
    </row>
    <row r="900" spans="1:4" hidden="1" x14ac:dyDescent="0.45">
      <c r="A900" s="3">
        <v>1041440333</v>
      </c>
      <c r="B900" s="2" t="s">
        <v>1251</v>
      </c>
      <c r="C900" s="2" t="s">
        <v>471</v>
      </c>
      <c r="D900" s="10" t="str">
        <f>IFERROR(_xlfn.XLOOKUP($A900&amp;"",Hoja1!$C$2:$C$253,Hoja1!$D$2:$D$253),IFERROR(_xlfn.XLOOKUP($A900,'Sucursales Empleado'!$A$2:$A$236,'Sucursales Empleado'!$B$2:$B$236),""))</f>
        <v>Parmessano Unicentro Bogotá</v>
      </c>
    </row>
    <row r="901" spans="1:4" hidden="1" x14ac:dyDescent="0.45">
      <c r="A901" s="3">
        <v>1041440333</v>
      </c>
      <c r="B901" s="2" t="s">
        <v>1254</v>
      </c>
      <c r="C901" s="2" t="s">
        <v>471</v>
      </c>
      <c r="D901" s="10" t="str">
        <f>IFERROR(_xlfn.XLOOKUP($A901&amp;"",Hoja1!$C$2:$C$253,Hoja1!$D$2:$D$253),IFERROR(_xlfn.XLOOKUP($A901,'Sucursales Empleado'!$A$2:$A$236,'Sucursales Empleado'!$B$2:$B$236),""))</f>
        <v>Parmessano Unicentro Bogotá</v>
      </c>
    </row>
    <row r="902" spans="1:4" hidden="1" x14ac:dyDescent="0.45">
      <c r="A902" s="3">
        <v>1041440333</v>
      </c>
      <c r="B902" s="2" t="s">
        <v>50</v>
      </c>
      <c r="C902" s="2" t="s">
        <v>473</v>
      </c>
      <c r="D902" s="10" t="str">
        <f>IFERROR(_xlfn.XLOOKUP($A902&amp;"",Hoja1!$C$2:$C$253,Hoja1!$D$2:$D$253),IFERROR(_xlfn.XLOOKUP($A902,'Sucursales Empleado'!$A$2:$A$236,'Sucursales Empleado'!$B$2:$B$236),""))</f>
        <v>Parmessano Unicentro Bogotá</v>
      </c>
    </row>
    <row r="903" spans="1:4" hidden="1" x14ac:dyDescent="0.45">
      <c r="A903" s="3">
        <v>1041440333</v>
      </c>
      <c r="B903" s="2" t="s">
        <v>1253</v>
      </c>
      <c r="C903" s="2" t="s">
        <v>473</v>
      </c>
      <c r="D903" s="10" t="str">
        <f>IFERROR(_xlfn.XLOOKUP($A903&amp;"",Hoja1!$C$2:$C$253,Hoja1!$D$2:$D$253),IFERROR(_xlfn.XLOOKUP($A903,'Sucursales Empleado'!$A$2:$A$236,'Sucursales Empleado'!$B$2:$B$236),""))</f>
        <v>Parmessano Unicentro Bogotá</v>
      </c>
    </row>
    <row r="904" spans="1:4" hidden="1" x14ac:dyDescent="0.45">
      <c r="A904" s="3">
        <v>1041440333</v>
      </c>
      <c r="B904" s="2" t="s">
        <v>51</v>
      </c>
      <c r="C904" s="2" t="s">
        <v>473</v>
      </c>
      <c r="D904" s="10" t="str">
        <f>IFERROR(_xlfn.XLOOKUP($A904&amp;"",Hoja1!$C$2:$C$253,Hoja1!$D$2:$D$253),IFERROR(_xlfn.XLOOKUP($A904,'Sucursales Empleado'!$A$2:$A$236,'Sucursales Empleado'!$B$2:$B$236),""))</f>
        <v>Parmessano Unicentro Bogotá</v>
      </c>
    </row>
    <row r="905" spans="1:4" hidden="1" x14ac:dyDescent="0.45">
      <c r="A905" s="13">
        <v>317591</v>
      </c>
      <c r="B905" s="2" t="s">
        <v>53</v>
      </c>
      <c r="C905" s="11" t="s">
        <v>471</v>
      </c>
      <c r="D905" s="11" t="str">
        <f>IFERROR(_xlfn.XLOOKUP($A905&amp;"",Hoja1!$C$2:$C$290,Hoja1!$D$2:$D$290),IFERROR(_xlfn.XLOOKUP($A905,'Sucursales Empleado'!$A$2:$A$265,'Sucursales Empleado'!$B$2:$B$265),""))</f>
        <v>Parmessano Unicentro Bogotá</v>
      </c>
    </row>
    <row r="906" spans="1:4" x14ac:dyDescent="0.45">
      <c r="A906" s="13">
        <v>317591</v>
      </c>
      <c r="B906" s="11" t="s">
        <v>1252</v>
      </c>
      <c r="C906" s="11" t="s">
        <v>471</v>
      </c>
      <c r="D906" s="11" t="str">
        <f>IFERROR(_xlfn.XLOOKUP($A906&amp;"",Hoja1!$C$2:$C$290,Hoja1!$D$2:$D$290),IFERROR(_xlfn.XLOOKUP($A906,'Sucursales Empleado'!$A$2:$A$265,'Sucursales Empleado'!$B$2:$B$265),""))</f>
        <v>Parmessano Unicentro Bogotá</v>
      </c>
    </row>
    <row r="907" spans="1:4" hidden="1" x14ac:dyDescent="0.45">
      <c r="A907" s="13">
        <v>317591</v>
      </c>
      <c r="B907" s="11" t="s">
        <v>1254</v>
      </c>
      <c r="C907" s="11" t="s">
        <v>471</v>
      </c>
      <c r="D907" s="11" t="str">
        <f>IFERROR(_xlfn.XLOOKUP($A907&amp;"",Hoja1!$C$2:$C$290,Hoja1!$D$2:$D$290),IFERROR(_xlfn.XLOOKUP($A907,'Sucursales Empleado'!$A$2:$A$265,'Sucursales Empleado'!$B$2:$B$265),""))</f>
        <v>Parmessano Unicentro Bogotá</v>
      </c>
    </row>
    <row r="908" spans="1:4" hidden="1" x14ac:dyDescent="0.45">
      <c r="A908" s="13">
        <v>317591</v>
      </c>
      <c r="B908" s="11" t="s">
        <v>50</v>
      </c>
      <c r="C908" s="11" t="s">
        <v>471</v>
      </c>
      <c r="D908" s="11" t="str">
        <f>IFERROR(_xlfn.XLOOKUP($A908&amp;"",Hoja1!$C$2:$C$290,Hoja1!$D$2:$D$290),IFERROR(_xlfn.XLOOKUP($A908,'Sucursales Empleado'!$A$2:$A$265,'Sucursales Empleado'!$B$2:$B$265),""))</f>
        <v>Parmessano Unicentro Bogotá</v>
      </c>
    </row>
    <row r="909" spans="1:4" hidden="1" x14ac:dyDescent="0.45">
      <c r="A909" s="13">
        <v>317591</v>
      </c>
      <c r="B909" s="11" t="s">
        <v>51</v>
      </c>
      <c r="C909" s="11" t="s">
        <v>471</v>
      </c>
      <c r="D909" s="11" t="str">
        <f>IFERROR(_xlfn.XLOOKUP($A909&amp;"",Hoja1!$C$2:$C$290,Hoja1!$D$2:$D$290),IFERROR(_xlfn.XLOOKUP($A909,'Sucursales Empleado'!$A$2:$A$265,'Sucursales Empleado'!$B$2:$B$265),""))</f>
        <v>Parmessano Unicentro Bogotá</v>
      </c>
    </row>
    <row r="910" spans="1:4" hidden="1" x14ac:dyDescent="0.45">
      <c r="A910" s="13">
        <v>6467161</v>
      </c>
      <c r="B910" s="2" t="s">
        <v>53</v>
      </c>
      <c r="C910" s="11" t="s">
        <v>471</v>
      </c>
      <c r="D910" s="11" t="str">
        <f>IFERROR(_xlfn.XLOOKUP($A910&amp;"",Hoja1!$C$2:$C$290,Hoja1!$D$2:$D$290),IFERROR(_xlfn.XLOOKUP($A910,'Sucursales Empleado'!$A$2:$A$265,'Sucursales Empleado'!$B$2:$B$265),""))</f>
        <v>Parmessano Unicentro Bogotá</v>
      </c>
    </row>
    <row r="911" spans="1:4" x14ac:dyDescent="0.45">
      <c r="A911" s="13">
        <v>6467161</v>
      </c>
      <c r="B911" s="11" t="s">
        <v>1252</v>
      </c>
      <c r="C911" s="11" t="s">
        <v>471</v>
      </c>
      <c r="D911" s="11" t="str">
        <f>IFERROR(_xlfn.XLOOKUP($A911&amp;"",Hoja1!$C$2:$C$290,Hoja1!$D$2:$D$290),IFERROR(_xlfn.XLOOKUP($A911,'Sucursales Empleado'!$A$2:$A$265,'Sucursales Empleado'!$B$2:$B$265),""))</f>
        <v>Parmessano Unicentro Bogotá</v>
      </c>
    </row>
    <row r="912" spans="1:4" hidden="1" x14ac:dyDescent="0.45">
      <c r="A912" s="13">
        <v>6467161</v>
      </c>
      <c r="B912" s="11" t="s">
        <v>1254</v>
      </c>
      <c r="C912" s="11" t="s">
        <v>471</v>
      </c>
      <c r="D912" s="11" t="str">
        <f>IFERROR(_xlfn.XLOOKUP($A912&amp;"",Hoja1!$C$2:$C$290,Hoja1!$D$2:$D$290),IFERROR(_xlfn.XLOOKUP($A912,'Sucursales Empleado'!$A$2:$A$265,'Sucursales Empleado'!$B$2:$B$265),""))</f>
        <v>Parmessano Unicentro Bogotá</v>
      </c>
    </row>
    <row r="913" spans="1:4" hidden="1" x14ac:dyDescent="0.45">
      <c r="A913" s="13">
        <v>6467161</v>
      </c>
      <c r="B913" s="11" t="s">
        <v>50</v>
      </c>
      <c r="C913" s="11" t="s">
        <v>471</v>
      </c>
      <c r="D913" s="11" t="str">
        <f>IFERROR(_xlfn.XLOOKUP($A913&amp;"",Hoja1!$C$2:$C$290,Hoja1!$D$2:$D$290),IFERROR(_xlfn.XLOOKUP($A913,'Sucursales Empleado'!$A$2:$A$265,'Sucursales Empleado'!$B$2:$B$265),""))</f>
        <v>Parmessano Unicentro Bogotá</v>
      </c>
    </row>
    <row r="914" spans="1:4" hidden="1" x14ac:dyDescent="0.45">
      <c r="A914" s="13">
        <v>6467161</v>
      </c>
      <c r="B914" s="11" t="s">
        <v>51</v>
      </c>
      <c r="C914" s="11" t="s">
        <v>471</v>
      </c>
      <c r="D914" s="11" t="str">
        <f>IFERROR(_xlfn.XLOOKUP($A914&amp;"",Hoja1!$C$2:$C$290,Hoja1!$D$2:$D$290),IFERROR(_xlfn.XLOOKUP($A914,'Sucursales Empleado'!$A$2:$A$265,'Sucursales Empleado'!$B$2:$B$265),""))</f>
        <v>Parmessano Unicentro Bogotá</v>
      </c>
    </row>
    <row r="915" spans="1:4" hidden="1" x14ac:dyDescent="0.45">
      <c r="A915" s="3"/>
      <c r="B915" s="2"/>
      <c r="C915" s="2"/>
      <c r="D915" s="10"/>
    </row>
    <row r="916" spans="1:4" hidden="1" x14ac:dyDescent="0.45">
      <c r="A916" s="3"/>
      <c r="B916" s="2"/>
      <c r="C916" s="2"/>
      <c r="D916" s="10"/>
    </row>
    <row r="917" spans="1:4" hidden="1" x14ac:dyDescent="0.45">
      <c r="A917" s="3"/>
      <c r="B917" s="2"/>
      <c r="C917" s="2"/>
      <c r="D917" s="10"/>
    </row>
    <row r="918" spans="1:4" hidden="1" x14ac:dyDescent="0.45">
      <c r="A918" s="3"/>
      <c r="B918" s="2"/>
      <c r="C918" s="2"/>
      <c r="D918" s="10"/>
    </row>
    <row r="919" spans="1:4" hidden="1" x14ac:dyDescent="0.45">
      <c r="A919" s="3"/>
      <c r="B919" s="2"/>
      <c r="C919" s="2"/>
      <c r="D919" s="10"/>
    </row>
    <row r="920" spans="1:4" hidden="1" x14ac:dyDescent="0.45">
      <c r="A920" s="3"/>
      <c r="B920" s="2"/>
      <c r="C920" s="2"/>
      <c r="D920" s="10"/>
    </row>
    <row r="921" spans="1:4" hidden="1" x14ac:dyDescent="0.45">
      <c r="A921" s="3"/>
      <c r="B921" s="2"/>
      <c r="C921" s="2"/>
      <c r="D921" s="10"/>
    </row>
    <row r="922" spans="1:4" hidden="1" x14ac:dyDescent="0.45">
      <c r="A922" s="3"/>
      <c r="B922" s="2"/>
      <c r="C922" s="2"/>
      <c r="D922" s="10"/>
    </row>
    <row r="923" spans="1:4" hidden="1" x14ac:dyDescent="0.45">
      <c r="A923" s="3"/>
      <c r="B923" s="2"/>
      <c r="C923" s="2"/>
      <c r="D923" s="10"/>
    </row>
    <row r="924" spans="1:4" hidden="1" x14ac:dyDescent="0.45">
      <c r="A924" s="3"/>
      <c r="B924" s="2"/>
      <c r="C924" s="2"/>
      <c r="D924" s="10"/>
    </row>
    <row r="925" spans="1:4" hidden="1" x14ac:dyDescent="0.45">
      <c r="A925" s="3"/>
      <c r="B925" s="2"/>
      <c r="C925" s="2"/>
      <c r="D925" s="10"/>
    </row>
    <row r="926" spans="1:4" hidden="1" x14ac:dyDescent="0.45">
      <c r="A926" s="3"/>
      <c r="B926" s="2"/>
      <c r="C926" s="2"/>
      <c r="D926" s="10"/>
    </row>
    <row r="927" spans="1:4" hidden="1" x14ac:dyDescent="0.45">
      <c r="A927" s="3"/>
      <c r="B927" s="2"/>
      <c r="C927" s="2"/>
      <c r="D927" s="10"/>
    </row>
    <row r="928" spans="1:4" hidden="1" x14ac:dyDescent="0.45">
      <c r="A928" s="3"/>
      <c r="B928" s="2"/>
      <c r="C928" s="2"/>
      <c r="D928" s="10"/>
    </row>
    <row r="929" spans="1:4" hidden="1" x14ac:dyDescent="0.45">
      <c r="A929" s="3"/>
      <c r="B929" s="2"/>
      <c r="C929" s="2"/>
      <c r="D929" s="10"/>
    </row>
    <row r="930" spans="1:4" hidden="1" x14ac:dyDescent="0.45">
      <c r="A930" s="3"/>
      <c r="B930" s="2"/>
      <c r="C930" s="2"/>
      <c r="D930" s="10"/>
    </row>
    <row r="931" spans="1:4" hidden="1" x14ac:dyDescent="0.45">
      <c r="A931" s="3"/>
      <c r="B931" s="2"/>
      <c r="C931" s="2"/>
      <c r="D931" s="10"/>
    </row>
    <row r="932" spans="1:4" hidden="1" x14ac:dyDescent="0.45">
      <c r="A932" s="3"/>
      <c r="B932" s="2"/>
      <c r="C932" s="2"/>
      <c r="D932" s="10"/>
    </row>
    <row r="933" spans="1:4" hidden="1" x14ac:dyDescent="0.45">
      <c r="A933" s="3"/>
      <c r="B933" s="2"/>
      <c r="C933" s="2"/>
      <c r="D933" s="10"/>
    </row>
    <row r="934" spans="1:4" hidden="1" x14ac:dyDescent="0.45">
      <c r="A934" s="3"/>
      <c r="B934" s="2"/>
      <c r="C934" s="2"/>
      <c r="D934" s="10"/>
    </row>
    <row r="935" spans="1:4" hidden="1" x14ac:dyDescent="0.45">
      <c r="A935" s="3"/>
      <c r="B935" s="2"/>
      <c r="C935" s="2"/>
      <c r="D935" s="10"/>
    </row>
    <row r="936" spans="1:4" hidden="1" x14ac:dyDescent="0.45">
      <c r="A936" s="3"/>
      <c r="B936" s="2"/>
      <c r="C936" s="2"/>
      <c r="D936" s="10"/>
    </row>
    <row r="937" spans="1:4" hidden="1" x14ac:dyDescent="0.45">
      <c r="A937" s="3"/>
      <c r="B937" s="2"/>
      <c r="C937" s="2"/>
      <c r="D937" s="10"/>
    </row>
    <row r="938" spans="1:4" hidden="1" x14ac:dyDescent="0.45">
      <c r="A938" s="3"/>
      <c r="B938" s="2"/>
      <c r="C938" s="2"/>
      <c r="D938" s="10"/>
    </row>
    <row r="939" spans="1:4" hidden="1" x14ac:dyDescent="0.45">
      <c r="A939" s="3"/>
      <c r="B939" s="2"/>
      <c r="C939" s="2"/>
      <c r="D939" s="10"/>
    </row>
    <row r="940" spans="1:4" hidden="1" x14ac:dyDescent="0.45">
      <c r="A940" s="3"/>
      <c r="B940" s="2"/>
      <c r="C940" s="2"/>
      <c r="D940" s="10"/>
    </row>
    <row r="941" spans="1:4" hidden="1" x14ac:dyDescent="0.45">
      <c r="A941" s="3"/>
      <c r="B941" s="2"/>
      <c r="C941" s="2"/>
      <c r="D941" s="10"/>
    </row>
    <row r="942" spans="1:4" hidden="1" x14ac:dyDescent="0.45">
      <c r="A942" s="3"/>
      <c r="B942" s="2"/>
      <c r="C942" s="2"/>
      <c r="D942" s="10"/>
    </row>
    <row r="943" spans="1:4" hidden="1" x14ac:dyDescent="0.45">
      <c r="A943" s="3"/>
      <c r="B943" s="2"/>
      <c r="C943" s="2"/>
      <c r="D943" s="10"/>
    </row>
    <row r="944" spans="1:4" hidden="1" x14ac:dyDescent="0.45">
      <c r="A944" s="3"/>
      <c r="B944" s="2"/>
      <c r="C944" s="2"/>
      <c r="D944" s="10"/>
    </row>
    <row r="945" spans="1:4" hidden="1" x14ac:dyDescent="0.45">
      <c r="A945" s="3"/>
      <c r="B945" s="2"/>
      <c r="C945" s="2"/>
      <c r="D945" s="10"/>
    </row>
    <row r="946" spans="1:4" hidden="1" x14ac:dyDescent="0.45">
      <c r="A946" s="3"/>
      <c r="B946" s="2"/>
      <c r="C946" s="2"/>
      <c r="D946" s="10"/>
    </row>
    <row r="947" spans="1:4" hidden="1" x14ac:dyDescent="0.45">
      <c r="A947" s="3"/>
      <c r="B947" s="2"/>
      <c r="C947" s="2"/>
      <c r="D947" s="10"/>
    </row>
    <row r="948" spans="1:4" hidden="1" x14ac:dyDescent="0.45">
      <c r="A948" s="3"/>
      <c r="B948" s="2"/>
      <c r="C948" s="2"/>
      <c r="D948" s="10"/>
    </row>
    <row r="949" spans="1:4" hidden="1" x14ac:dyDescent="0.45">
      <c r="A949" s="3"/>
      <c r="B949" s="2"/>
      <c r="C949" s="2"/>
      <c r="D949" s="10"/>
    </row>
    <row r="950" spans="1:4" hidden="1" x14ac:dyDescent="0.45">
      <c r="A950" s="3"/>
      <c r="B950" s="2"/>
      <c r="C950" s="2"/>
      <c r="D950" s="10"/>
    </row>
    <row r="951" spans="1:4" hidden="1" x14ac:dyDescent="0.45">
      <c r="A951" s="3"/>
      <c r="B951" s="2"/>
      <c r="C951" s="2"/>
      <c r="D951" s="10"/>
    </row>
    <row r="952" spans="1:4" hidden="1" x14ac:dyDescent="0.45">
      <c r="A952" s="3"/>
      <c r="B952" s="2"/>
      <c r="C952" s="2"/>
      <c r="D952" s="10"/>
    </row>
    <row r="953" spans="1:4" hidden="1" x14ac:dyDescent="0.45">
      <c r="A953" s="3"/>
      <c r="B953" s="2"/>
      <c r="C953" s="2"/>
      <c r="D953" s="10"/>
    </row>
    <row r="954" spans="1:4" hidden="1" x14ac:dyDescent="0.45">
      <c r="A954" s="3"/>
      <c r="B954" s="2"/>
      <c r="C954" s="2"/>
      <c r="D954" s="10"/>
    </row>
    <row r="955" spans="1:4" hidden="1" x14ac:dyDescent="0.45">
      <c r="A955" s="3"/>
      <c r="B955" s="2"/>
      <c r="C955" s="2"/>
      <c r="D955" s="10"/>
    </row>
    <row r="956" spans="1:4" hidden="1" x14ac:dyDescent="0.45">
      <c r="A956" s="3"/>
      <c r="B956" s="2"/>
      <c r="C956" s="2"/>
      <c r="D956" s="10"/>
    </row>
    <row r="957" spans="1:4" hidden="1" x14ac:dyDescent="0.45">
      <c r="A957" s="3"/>
      <c r="B957" s="2"/>
      <c r="C957" s="2"/>
      <c r="D957" s="10"/>
    </row>
    <row r="958" spans="1:4" hidden="1" x14ac:dyDescent="0.45">
      <c r="A958" s="3"/>
      <c r="B958" s="2"/>
      <c r="C958" s="2"/>
      <c r="D958" s="10"/>
    </row>
    <row r="959" spans="1:4" hidden="1" x14ac:dyDescent="0.45">
      <c r="A959" s="3"/>
      <c r="B959" s="2"/>
      <c r="C959" s="2"/>
      <c r="D959" s="10"/>
    </row>
    <row r="960" spans="1:4" hidden="1" x14ac:dyDescent="0.45">
      <c r="A960" s="3"/>
      <c r="B960" s="2"/>
      <c r="C960" s="2"/>
      <c r="D960" s="10"/>
    </row>
    <row r="961" spans="1:4" hidden="1" x14ac:dyDescent="0.45">
      <c r="A961" s="3"/>
      <c r="B961" s="2"/>
      <c r="C961" s="2"/>
      <c r="D961" s="10"/>
    </row>
    <row r="962" spans="1:4" hidden="1" x14ac:dyDescent="0.45">
      <c r="A962" s="3"/>
      <c r="B962" s="2"/>
      <c r="C962" s="2"/>
      <c r="D962" s="10"/>
    </row>
    <row r="963" spans="1:4" hidden="1" x14ac:dyDescent="0.45">
      <c r="A963" s="3"/>
      <c r="B963" s="2"/>
      <c r="C963" s="2"/>
      <c r="D963" s="10"/>
    </row>
    <row r="964" spans="1:4" hidden="1" x14ac:dyDescent="0.45">
      <c r="A964" s="3"/>
      <c r="B964" s="2"/>
      <c r="C964" s="2"/>
      <c r="D964" s="10"/>
    </row>
    <row r="965" spans="1:4" hidden="1" x14ac:dyDescent="0.45">
      <c r="A965" s="3"/>
      <c r="B965" s="2"/>
      <c r="C965" s="2"/>
      <c r="D965" s="10"/>
    </row>
    <row r="966" spans="1:4" hidden="1" x14ac:dyDescent="0.45">
      <c r="A966" s="3"/>
      <c r="B966" s="2"/>
      <c r="C966" s="2"/>
      <c r="D966" s="10"/>
    </row>
    <row r="967" spans="1:4" hidden="1" x14ac:dyDescent="0.45">
      <c r="A967" s="3"/>
      <c r="B967" s="2"/>
      <c r="C967" s="2"/>
      <c r="D967" s="10"/>
    </row>
    <row r="968" spans="1:4" hidden="1" x14ac:dyDescent="0.45">
      <c r="A968" s="3"/>
      <c r="B968" s="2"/>
      <c r="C968" s="2"/>
      <c r="D968" s="10"/>
    </row>
    <row r="969" spans="1:4" hidden="1" x14ac:dyDescent="0.45">
      <c r="A969" s="3"/>
      <c r="B969" s="2"/>
      <c r="C969" s="2"/>
      <c r="D969" s="10"/>
    </row>
    <row r="970" spans="1:4" hidden="1" x14ac:dyDescent="0.45">
      <c r="A970" s="3"/>
      <c r="B970" s="2"/>
      <c r="C970" s="2"/>
      <c r="D970" s="10"/>
    </row>
    <row r="971" spans="1:4" hidden="1" x14ac:dyDescent="0.45">
      <c r="A971" s="3"/>
      <c r="B971" s="2"/>
      <c r="C971" s="2"/>
      <c r="D971" s="10"/>
    </row>
    <row r="972" spans="1:4" hidden="1" x14ac:dyDescent="0.45">
      <c r="A972" s="12"/>
      <c r="B972" s="11"/>
      <c r="C972" s="11"/>
      <c r="D972" s="11"/>
    </row>
  </sheetData>
  <autoFilter ref="A1:D972" xr:uid="{00000000-0001-0000-0600-000000000000}">
    <filterColumn colId="1">
      <filters>
        <filter val="patinador de  Comidas"/>
      </filters>
    </filterColumn>
    <sortState xmlns:xlrd2="http://schemas.microsoft.com/office/spreadsheetml/2017/richdata2" ref="A2:D972">
      <sortCondition ref="D1:D972"/>
    </sortState>
  </autoFilter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600-000001000000}">
            <xm:f>AND($A2&lt;&gt;"",COUNTIF(Empleados!$B:$B,$A2)=0)</xm:f>
            <x14:dxf>
              <fill>
                <patternFill patternType="solid">
                  <fgColor rgb="FFFFF2CC"/>
                </patternFill>
              </fill>
            </x14:dxf>
          </x14:cfRule>
          <xm:sqref>A2:C725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B445"/>
  <sheetViews>
    <sheetView showGridLines="0" zoomScale="90" workbookViewId="0">
      <pane ySplit="1" topLeftCell="A13" activePane="bottomLeft" state="frozen"/>
      <selection pane="bottomLeft" activeCell="E167" sqref="E167"/>
    </sheetView>
  </sheetViews>
  <sheetFormatPr defaultColWidth="9.1328125" defaultRowHeight="14.25" x14ac:dyDescent="0.45"/>
  <cols>
    <col min="1" max="1" width="15" customWidth="1"/>
    <col min="2" max="2" width="21" customWidth="1"/>
  </cols>
  <sheetData>
    <row r="1" spans="1:2" ht="30" customHeight="1" x14ac:dyDescent="0.45">
      <c r="A1" s="1" t="s">
        <v>83</v>
      </c>
      <c r="B1" s="1" t="s">
        <v>84</v>
      </c>
    </row>
    <row r="2" spans="1:2" ht="20.100000000000001" hidden="1" customHeight="1" x14ac:dyDescent="0.45">
      <c r="A2" s="2" t="s">
        <v>85</v>
      </c>
      <c r="B2" s="2" t="s">
        <v>41</v>
      </c>
    </row>
    <row r="3" spans="1:2" ht="20.100000000000001" hidden="1" customHeight="1" x14ac:dyDescent="0.45">
      <c r="A3" s="2" t="s">
        <v>86</v>
      </c>
      <c r="B3" s="2" t="s">
        <v>42</v>
      </c>
    </row>
    <row r="4" spans="1:2" ht="20.100000000000001" hidden="1" customHeight="1" x14ac:dyDescent="0.45">
      <c r="A4" s="2" t="s">
        <v>87</v>
      </c>
      <c r="B4" s="2" t="s">
        <v>42</v>
      </c>
    </row>
    <row r="5" spans="1:2" ht="20.100000000000001" hidden="1" customHeight="1" x14ac:dyDescent="0.45">
      <c r="A5" s="2" t="s">
        <v>88</v>
      </c>
      <c r="B5" s="2" t="s">
        <v>48</v>
      </c>
    </row>
    <row r="6" spans="1:2" ht="20.100000000000001" hidden="1" customHeight="1" x14ac:dyDescent="0.45">
      <c r="A6" s="2" t="s">
        <v>89</v>
      </c>
      <c r="B6" s="2" t="s">
        <v>42</v>
      </c>
    </row>
    <row r="7" spans="1:2" ht="20.100000000000001" hidden="1" customHeight="1" x14ac:dyDescent="0.45">
      <c r="A7" s="2" t="s">
        <v>90</v>
      </c>
      <c r="B7" s="2" t="s">
        <v>39</v>
      </c>
    </row>
    <row r="8" spans="1:2" ht="20.100000000000001" hidden="1" customHeight="1" x14ac:dyDescent="0.45">
      <c r="A8" s="2" t="s">
        <v>91</v>
      </c>
      <c r="B8" s="2" t="s">
        <v>37</v>
      </c>
    </row>
    <row r="9" spans="1:2" ht="20.100000000000001" hidden="1" customHeight="1" x14ac:dyDescent="0.45">
      <c r="A9" s="2" t="s">
        <v>92</v>
      </c>
      <c r="B9" s="2" t="s">
        <v>37</v>
      </c>
    </row>
    <row r="10" spans="1:2" ht="20.100000000000001" hidden="1" customHeight="1" x14ac:dyDescent="0.45">
      <c r="A10" s="2" t="s">
        <v>93</v>
      </c>
      <c r="B10" s="2" t="s">
        <v>42</v>
      </c>
    </row>
    <row r="11" spans="1:2" ht="20.100000000000001" hidden="1" customHeight="1" x14ac:dyDescent="0.45">
      <c r="A11" s="2" t="s">
        <v>94</v>
      </c>
      <c r="B11" s="2" t="s">
        <v>42</v>
      </c>
    </row>
    <row r="12" spans="1:2" ht="20.100000000000001" hidden="1" customHeight="1" x14ac:dyDescent="0.45">
      <c r="A12" s="2" t="s">
        <v>95</v>
      </c>
      <c r="B12" s="2" t="s">
        <v>42</v>
      </c>
    </row>
    <row r="13" spans="1:2" ht="20.100000000000001" customHeight="1" x14ac:dyDescent="0.45">
      <c r="A13" s="2" t="s">
        <v>96</v>
      </c>
      <c r="B13" s="2" t="s">
        <v>51</v>
      </c>
    </row>
    <row r="14" spans="1:2" ht="20.100000000000001" hidden="1" customHeight="1" x14ac:dyDescent="0.45">
      <c r="A14" s="2" t="s">
        <v>97</v>
      </c>
      <c r="B14" s="2" t="s">
        <v>42</v>
      </c>
    </row>
    <row r="15" spans="1:2" ht="20.100000000000001" hidden="1" customHeight="1" x14ac:dyDescent="0.45">
      <c r="A15" s="2" t="s">
        <v>98</v>
      </c>
      <c r="B15" s="2" t="s">
        <v>37</v>
      </c>
    </row>
    <row r="16" spans="1:2" ht="20.100000000000001" hidden="1" customHeight="1" x14ac:dyDescent="0.45">
      <c r="A16" s="2" t="s">
        <v>99</v>
      </c>
      <c r="B16" s="2" t="s">
        <v>39</v>
      </c>
    </row>
    <row r="17" spans="1:2" ht="20.100000000000001" hidden="1" customHeight="1" x14ac:dyDescent="0.45">
      <c r="A17" s="2" t="s">
        <v>100</v>
      </c>
      <c r="B17" s="2" t="s">
        <v>39</v>
      </c>
    </row>
    <row r="18" spans="1:2" ht="20.100000000000001" hidden="1" customHeight="1" x14ac:dyDescent="0.45">
      <c r="A18" s="2" t="s">
        <v>101</v>
      </c>
      <c r="B18" s="2" t="s">
        <v>39</v>
      </c>
    </row>
    <row r="19" spans="1:2" ht="20.100000000000001" hidden="1" customHeight="1" x14ac:dyDescent="0.45">
      <c r="A19" s="2" t="s">
        <v>102</v>
      </c>
      <c r="B19" s="2" t="s">
        <v>39</v>
      </c>
    </row>
    <row r="20" spans="1:2" ht="20.100000000000001" hidden="1" customHeight="1" x14ac:dyDescent="0.45">
      <c r="A20" s="2" t="s">
        <v>103</v>
      </c>
      <c r="B20" s="2" t="s">
        <v>39</v>
      </c>
    </row>
    <row r="21" spans="1:2" ht="20.100000000000001" hidden="1" customHeight="1" x14ac:dyDescent="0.45">
      <c r="A21" s="2" t="s">
        <v>104</v>
      </c>
      <c r="B21" s="2" t="s">
        <v>39</v>
      </c>
    </row>
    <row r="22" spans="1:2" ht="20.100000000000001" hidden="1" customHeight="1" x14ac:dyDescent="0.45">
      <c r="A22" s="2" t="s">
        <v>105</v>
      </c>
      <c r="B22" s="2" t="s">
        <v>39</v>
      </c>
    </row>
    <row r="23" spans="1:2" ht="20.100000000000001" hidden="1" customHeight="1" x14ac:dyDescent="0.45">
      <c r="A23" s="2" t="s">
        <v>106</v>
      </c>
      <c r="B23" s="2" t="s">
        <v>39</v>
      </c>
    </row>
    <row r="24" spans="1:2" ht="20.100000000000001" hidden="1" customHeight="1" x14ac:dyDescent="0.45">
      <c r="A24" s="2" t="s">
        <v>107</v>
      </c>
      <c r="B24" s="2" t="s">
        <v>39</v>
      </c>
    </row>
    <row r="25" spans="1:2" ht="20.100000000000001" hidden="1" customHeight="1" x14ac:dyDescent="0.45">
      <c r="A25" s="2" t="s">
        <v>108</v>
      </c>
      <c r="B25" s="2" t="s">
        <v>39</v>
      </c>
    </row>
    <row r="26" spans="1:2" ht="20.100000000000001" hidden="1" customHeight="1" x14ac:dyDescent="0.45">
      <c r="A26" s="2" t="s">
        <v>109</v>
      </c>
      <c r="B26" s="2" t="s">
        <v>39</v>
      </c>
    </row>
    <row r="27" spans="1:2" ht="20.100000000000001" hidden="1" customHeight="1" x14ac:dyDescent="0.45">
      <c r="A27" s="2" t="s">
        <v>110</v>
      </c>
      <c r="B27" s="2" t="s">
        <v>39</v>
      </c>
    </row>
    <row r="28" spans="1:2" ht="20.100000000000001" customHeight="1" x14ac:dyDescent="0.45">
      <c r="A28" s="2" t="s">
        <v>111</v>
      </c>
      <c r="B28" s="2" t="s">
        <v>51</v>
      </c>
    </row>
    <row r="29" spans="1:2" ht="20.100000000000001" hidden="1" customHeight="1" x14ac:dyDescent="0.45">
      <c r="A29" s="2" t="s">
        <v>112</v>
      </c>
      <c r="B29" s="2" t="s">
        <v>42</v>
      </c>
    </row>
    <row r="30" spans="1:2" ht="20.100000000000001" hidden="1" customHeight="1" x14ac:dyDescent="0.45">
      <c r="A30" s="2" t="s">
        <v>113</v>
      </c>
      <c r="B30" s="2" t="s">
        <v>42</v>
      </c>
    </row>
    <row r="31" spans="1:2" ht="20.100000000000001" hidden="1" customHeight="1" x14ac:dyDescent="0.45">
      <c r="A31" s="2" t="s">
        <v>113</v>
      </c>
      <c r="B31" s="2" t="s">
        <v>37</v>
      </c>
    </row>
    <row r="32" spans="1:2" ht="20.100000000000001" hidden="1" customHeight="1" x14ac:dyDescent="0.45">
      <c r="A32" s="2" t="s">
        <v>114</v>
      </c>
      <c r="B32" s="2" t="s">
        <v>42</v>
      </c>
    </row>
    <row r="33" spans="1:2" ht="20.100000000000001" hidden="1" customHeight="1" x14ac:dyDescent="0.45">
      <c r="A33" s="2" t="s">
        <v>114</v>
      </c>
      <c r="B33" s="2" t="s">
        <v>37</v>
      </c>
    </row>
    <row r="34" spans="1:2" ht="20.100000000000001" hidden="1" customHeight="1" x14ac:dyDescent="0.45">
      <c r="A34" s="2" t="s">
        <v>115</v>
      </c>
      <c r="B34" s="2" t="s">
        <v>39</v>
      </c>
    </row>
    <row r="35" spans="1:2" ht="20.100000000000001" hidden="1" customHeight="1" x14ac:dyDescent="0.45">
      <c r="A35" s="2" t="s">
        <v>116</v>
      </c>
      <c r="B35" s="2" t="s">
        <v>48</v>
      </c>
    </row>
    <row r="36" spans="1:2" ht="20.100000000000001" hidden="1" customHeight="1" x14ac:dyDescent="0.45">
      <c r="A36" s="2" t="s">
        <v>117</v>
      </c>
      <c r="B36" s="2" t="s">
        <v>48</v>
      </c>
    </row>
    <row r="37" spans="1:2" ht="20.100000000000001" hidden="1" customHeight="1" x14ac:dyDescent="0.45">
      <c r="A37" s="2" t="s">
        <v>118</v>
      </c>
      <c r="B37" s="2" t="s">
        <v>42</v>
      </c>
    </row>
    <row r="38" spans="1:2" ht="20.100000000000001" hidden="1" customHeight="1" x14ac:dyDescent="0.45">
      <c r="A38" s="2" t="s">
        <v>119</v>
      </c>
      <c r="B38" s="2" t="s">
        <v>42</v>
      </c>
    </row>
    <row r="39" spans="1:2" ht="20.100000000000001" hidden="1" customHeight="1" x14ac:dyDescent="0.45">
      <c r="A39" s="2" t="s">
        <v>119</v>
      </c>
      <c r="B39" s="2" t="s">
        <v>37</v>
      </c>
    </row>
    <row r="40" spans="1:2" ht="20.100000000000001" hidden="1" customHeight="1" x14ac:dyDescent="0.45">
      <c r="A40" s="2" t="s">
        <v>120</v>
      </c>
      <c r="B40" s="2" t="s">
        <v>42</v>
      </c>
    </row>
    <row r="41" spans="1:2" ht="20.100000000000001" hidden="1" customHeight="1" x14ac:dyDescent="0.45">
      <c r="A41" s="2" t="s">
        <v>120</v>
      </c>
      <c r="B41" s="2" t="s">
        <v>37</v>
      </c>
    </row>
    <row r="42" spans="1:2" ht="20.100000000000001" hidden="1" customHeight="1" x14ac:dyDescent="0.45">
      <c r="A42" s="2" t="s">
        <v>121</v>
      </c>
      <c r="B42" s="2" t="s">
        <v>48</v>
      </c>
    </row>
    <row r="43" spans="1:2" ht="20.100000000000001" hidden="1" customHeight="1" x14ac:dyDescent="0.45">
      <c r="A43" s="2" t="s">
        <v>122</v>
      </c>
      <c r="B43" s="2" t="s">
        <v>48</v>
      </c>
    </row>
    <row r="44" spans="1:2" ht="20.100000000000001" hidden="1" customHeight="1" x14ac:dyDescent="0.45">
      <c r="A44" s="2" t="s">
        <v>123</v>
      </c>
      <c r="B44" s="2" t="s">
        <v>48</v>
      </c>
    </row>
    <row r="45" spans="1:2" ht="20.100000000000001" hidden="1" customHeight="1" x14ac:dyDescent="0.45">
      <c r="A45" s="2" t="s">
        <v>124</v>
      </c>
      <c r="B45" s="2" t="s">
        <v>48</v>
      </c>
    </row>
    <row r="46" spans="1:2" ht="20.100000000000001" hidden="1" customHeight="1" x14ac:dyDescent="0.45">
      <c r="A46" s="2" t="s">
        <v>125</v>
      </c>
      <c r="B46" s="2" t="s">
        <v>48</v>
      </c>
    </row>
    <row r="47" spans="1:2" ht="20.100000000000001" hidden="1" customHeight="1" x14ac:dyDescent="0.45">
      <c r="A47" s="2" t="s">
        <v>126</v>
      </c>
      <c r="B47" s="2" t="s">
        <v>48</v>
      </c>
    </row>
    <row r="48" spans="1:2" ht="20.100000000000001" hidden="1" customHeight="1" x14ac:dyDescent="0.45">
      <c r="A48" s="2" t="s">
        <v>127</v>
      </c>
      <c r="B48" s="2" t="s">
        <v>48</v>
      </c>
    </row>
    <row r="49" spans="1:2" ht="20.100000000000001" hidden="1" customHeight="1" x14ac:dyDescent="0.45">
      <c r="A49" s="2" t="s">
        <v>128</v>
      </c>
      <c r="B49" s="2" t="s">
        <v>48</v>
      </c>
    </row>
    <row r="50" spans="1:2" ht="20.100000000000001" hidden="1" customHeight="1" x14ac:dyDescent="0.45">
      <c r="A50" s="2" t="s">
        <v>129</v>
      </c>
      <c r="B50" s="2" t="s">
        <v>48</v>
      </c>
    </row>
    <row r="51" spans="1:2" ht="20.100000000000001" hidden="1" customHeight="1" x14ac:dyDescent="0.45">
      <c r="A51" s="2" t="s">
        <v>130</v>
      </c>
      <c r="B51" s="2" t="s">
        <v>48</v>
      </c>
    </row>
    <row r="52" spans="1:2" ht="20.100000000000001" hidden="1" customHeight="1" x14ac:dyDescent="0.45">
      <c r="A52" s="2" t="s">
        <v>131</v>
      </c>
      <c r="B52" s="2" t="s">
        <v>48</v>
      </c>
    </row>
    <row r="53" spans="1:2" ht="20.100000000000001" hidden="1" customHeight="1" x14ac:dyDescent="0.45">
      <c r="A53" s="2" t="s">
        <v>132</v>
      </c>
      <c r="B53" s="2" t="s">
        <v>48</v>
      </c>
    </row>
    <row r="54" spans="1:2" ht="20.100000000000001" hidden="1" customHeight="1" x14ac:dyDescent="0.45">
      <c r="A54" s="2" t="s">
        <v>133</v>
      </c>
      <c r="B54" s="2" t="s">
        <v>48</v>
      </c>
    </row>
    <row r="55" spans="1:2" ht="20.100000000000001" hidden="1" customHeight="1" x14ac:dyDescent="0.45">
      <c r="A55" s="2" t="s">
        <v>134</v>
      </c>
      <c r="B55" s="2" t="s">
        <v>48</v>
      </c>
    </row>
    <row r="56" spans="1:2" ht="20.100000000000001" hidden="1" customHeight="1" x14ac:dyDescent="0.45">
      <c r="A56" s="2" t="s">
        <v>135</v>
      </c>
      <c r="B56" s="2" t="s">
        <v>48</v>
      </c>
    </row>
    <row r="57" spans="1:2" ht="20.100000000000001" hidden="1" customHeight="1" x14ac:dyDescent="0.45">
      <c r="A57" s="2" t="s">
        <v>136</v>
      </c>
      <c r="B57" s="2" t="s">
        <v>42</v>
      </c>
    </row>
    <row r="58" spans="1:2" ht="20.100000000000001" hidden="1" customHeight="1" x14ac:dyDescent="0.45">
      <c r="A58" s="2" t="s">
        <v>137</v>
      </c>
      <c r="B58" s="2" t="s">
        <v>47</v>
      </c>
    </row>
    <row r="59" spans="1:2" ht="20.100000000000001" hidden="1" customHeight="1" x14ac:dyDescent="0.45">
      <c r="A59" s="2" t="s">
        <v>138</v>
      </c>
      <c r="B59" s="2" t="s">
        <v>47</v>
      </c>
    </row>
    <row r="60" spans="1:2" ht="20.100000000000001" hidden="1" customHeight="1" x14ac:dyDescent="0.45">
      <c r="A60" s="2" t="s">
        <v>139</v>
      </c>
      <c r="B60" s="2" t="s">
        <v>48</v>
      </c>
    </row>
    <row r="61" spans="1:2" ht="20.100000000000001" hidden="1" customHeight="1" x14ac:dyDescent="0.45">
      <c r="A61" s="2" t="s">
        <v>140</v>
      </c>
      <c r="B61" s="2" t="s">
        <v>47</v>
      </c>
    </row>
    <row r="62" spans="1:2" ht="20.100000000000001" hidden="1" customHeight="1" x14ac:dyDescent="0.45">
      <c r="A62" s="2" t="s">
        <v>141</v>
      </c>
      <c r="B62" s="2" t="s">
        <v>1254</v>
      </c>
    </row>
    <row r="63" spans="1:2" ht="20.100000000000001" hidden="1" customHeight="1" x14ac:dyDescent="0.45">
      <c r="A63" s="2" t="s">
        <v>142</v>
      </c>
      <c r="B63" s="2" t="s">
        <v>1254</v>
      </c>
    </row>
    <row r="64" spans="1:2" ht="20.100000000000001" hidden="1" customHeight="1" x14ac:dyDescent="0.45">
      <c r="A64" s="2" t="s">
        <v>143</v>
      </c>
      <c r="B64" s="2" t="s">
        <v>1254</v>
      </c>
    </row>
    <row r="65" spans="1:2" ht="20.100000000000001" hidden="1" customHeight="1" x14ac:dyDescent="0.45">
      <c r="A65" s="2" t="s">
        <v>144</v>
      </c>
      <c r="B65" s="2" t="s">
        <v>1254</v>
      </c>
    </row>
    <row r="66" spans="1:2" ht="20.100000000000001" hidden="1" customHeight="1" x14ac:dyDescent="0.45">
      <c r="A66" s="2" t="s">
        <v>145</v>
      </c>
      <c r="B66" s="2" t="s">
        <v>1254</v>
      </c>
    </row>
    <row r="67" spans="1:2" ht="20.100000000000001" hidden="1" customHeight="1" x14ac:dyDescent="0.45">
      <c r="A67" s="2" t="s">
        <v>146</v>
      </c>
      <c r="B67" s="2" t="s">
        <v>47</v>
      </c>
    </row>
    <row r="68" spans="1:2" ht="20.100000000000001" hidden="1" customHeight="1" x14ac:dyDescent="0.45">
      <c r="A68" s="2" t="s">
        <v>147</v>
      </c>
      <c r="B68" s="2" t="s">
        <v>47</v>
      </c>
    </row>
    <row r="69" spans="1:2" ht="20.100000000000001" hidden="1" customHeight="1" x14ac:dyDescent="0.45">
      <c r="A69" s="2" t="s">
        <v>148</v>
      </c>
      <c r="B69" s="2" t="s">
        <v>47</v>
      </c>
    </row>
    <row r="70" spans="1:2" ht="20.100000000000001" hidden="1" customHeight="1" x14ac:dyDescent="0.45">
      <c r="A70" s="2" t="s">
        <v>149</v>
      </c>
      <c r="B70" s="2" t="s">
        <v>47</v>
      </c>
    </row>
    <row r="71" spans="1:2" ht="20.100000000000001" hidden="1" customHeight="1" x14ac:dyDescent="0.45">
      <c r="A71" s="2" t="s">
        <v>150</v>
      </c>
      <c r="B71" s="2" t="s">
        <v>42</v>
      </c>
    </row>
    <row r="72" spans="1:2" ht="20.100000000000001" hidden="1" customHeight="1" x14ac:dyDescent="0.45">
      <c r="A72" s="2" t="s">
        <v>151</v>
      </c>
      <c r="B72" s="2" t="s">
        <v>48</v>
      </c>
    </row>
    <row r="73" spans="1:2" ht="20.100000000000001" hidden="1" customHeight="1" x14ac:dyDescent="0.45">
      <c r="A73" s="2" t="s">
        <v>152</v>
      </c>
      <c r="B73" s="2" t="s">
        <v>42</v>
      </c>
    </row>
    <row r="74" spans="1:2" ht="20.100000000000001" hidden="1" customHeight="1" x14ac:dyDescent="0.45">
      <c r="A74" s="2" t="s">
        <v>153</v>
      </c>
      <c r="B74" s="2" t="s">
        <v>48</v>
      </c>
    </row>
    <row r="75" spans="1:2" ht="20.100000000000001" hidden="1" customHeight="1" x14ac:dyDescent="0.45">
      <c r="A75" s="2" t="s">
        <v>154</v>
      </c>
      <c r="B75" s="2" t="s">
        <v>39</v>
      </c>
    </row>
    <row r="76" spans="1:2" ht="20.100000000000001" hidden="1" customHeight="1" x14ac:dyDescent="0.45">
      <c r="A76" s="2" t="s">
        <v>155</v>
      </c>
      <c r="B76" s="2" t="s">
        <v>42</v>
      </c>
    </row>
    <row r="77" spans="1:2" ht="20.100000000000001" hidden="1" customHeight="1" x14ac:dyDescent="0.45">
      <c r="A77" s="2" t="s">
        <v>156</v>
      </c>
      <c r="B77" s="2" t="s">
        <v>39</v>
      </c>
    </row>
    <row r="78" spans="1:2" ht="20.100000000000001" hidden="1" customHeight="1" x14ac:dyDescent="0.45">
      <c r="A78" s="2" t="s">
        <v>157</v>
      </c>
      <c r="B78" s="2" t="s">
        <v>39</v>
      </c>
    </row>
    <row r="79" spans="1:2" ht="20.100000000000001" hidden="1" customHeight="1" x14ac:dyDescent="0.45">
      <c r="A79" s="2" t="s">
        <v>158</v>
      </c>
      <c r="B79" s="2" t="s">
        <v>39</v>
      </c>
    </row>
    <row r="80" spans="1:2" ht="20.100000000000001" hidden="1" customHeight="1" x14ac:dyDescent="0.45">
      <c r="A80" s="2" t="s">
        <v>159</v>
      </c>
      <c r="B80" s="2" t="s">
        <v>48</v>
      </c>
    </row>
    <row r="81" spans="1:2" ht="20.100000000000001" hidden="1" customHeight="1" x14ac:dyDescent="0.45">
      <c r="A81" s="2" t="s">
        <v>160</v>
      </c>
      <c r="B81" s="2" t="s">
        <v>1254</v>
      </c>
    </row>
    <row r="82" spans="1:2" ht="20.100000000000001" hidden="1" customHeight="1" x14ac:dyDescent="0.45">
      <c r="A82" s="2" t="s">
        <v>161</v>
      </c>
      <c r="B82" s="2" t="s">
        <v>37</v>
      </c>
    </row>
    <row r="83" spans="1:2" ht="20.100000000000001" hidden="1" customHeight="1" x14ac:dyDescent="0.45">
      <c r="A83" s="2" t="s">
        <v>161</v>
      </c>
      <c r="B83" s="2" t="s">
        <v>39</v>
      </c>
    </row>
    <row r="84" spans="1:2" ht="20.100000000000001" hidden="1" customHeight="1" x14ac:dyDescent="0.45">
      <c r="A84" s="2" t="s">
        <v>161</v>
      </c>
      <c r="B84" s="2" t="s">
        <v>42</v>
      </c>
    </row>
    <row r="85" spans="1:2" ht="20.100000000000001" hidden="1" customHeight="1" x14ac:dyDescent="0.45">
      <c r="A85" s="2" t="s">
        <v>162</v>
      </c>
      <c r="B85" s="2" t="s">
        <v>37</v>
      </c>
    </row>
    <row r="86" spans="1:2" ht="20.100000000000001" hidden="1" customHeight="1" x14ac:dyDescent="0.45">
      <c r="A86" s="2" t="s">
        <v>162</v>
      </c>
      <c r="B86" s="2" t="s">
        <v>39</v>
      </c>
    </row>
    <row r="87" spans="1:2" ht="20.100000000000001" hidden="1" customHeight="1" x14ac:dyDescent="0.45">
      <c r="A87" s="2" t="s">
        <v>162</v>
      </c>
      <c r="B87" s="2" t="s">
        <v>42</v>
      </c>
    </row>
    <row r="88" spans="1:2" ht="20.100000000000001" hidden="1" customHeight="1" x14ac:dyDescent="0.45">
      <c r="A88" s="2" t="s">
        <v>163</v>
      </c>
      <c r="B88" s="2" t="s">
        <v>1254</v>
      </c>
    </row>
    <row r="89" spans="1:2" ht="20.100000000000001" hidden="1" customHeight="1" x14ac:dyDescent="0.45">
      <c r="A89" s="2" t="s">
        <v>164</v>
      </c>
      <c r="B89" s="2" t="s">
        <v>1254</v>
      </c>
    </row>
    <row r="90" spans="1:2" ht="20.100000000000001" hidden="1" customHeight="1" x14ac:dyDescent="0.45">
      <c r="A90" s="2" t="s">
        <v>165</v>
      </c>
      <c r="B90" s="2" t="s">
        <v>1254</v>
      </c>
    </row>
    <row r="91" spans="1:2" ht="20.100000000000001" hidden="1" customHeight="1" x14ac:dyDescent="0.45">
      <c r="A91" s="2" t="s">
        <v>166</v>
      </c>
      <c r="B91" s="2" t="s">
        <v>1254</v>
      </c>
    </row>
    <row r="92" spans="1:2" ht="20.100000000000001" hidden="1" customHeight="1" x14ac:dyDescent="0.45">
      <c r="A92" s="2" t="s">
        <v>167</v>
      </c>
      <c r="B92" s="2" t="s">
        <v>42</v>
      </c>
    </row>
    <row r="93" spans="1:2" ht="20.100000000000001" hidden="1" customHeight="1" x14ac:dyDescent="0.45">
      <c r="A93" s="2" t="s">
        <v>167</v>
      </c>
      <c r="B93" s="2" t="s">
        <v>37</v>
      </c>
    </row>
    <row r="94" spans="1:2" ht="20.100000000000001" customHeight="1" x14ac:dyDescent="0.45">
      <c r="A94" s="2" t="s">
        <v>168</v>
      </c>
      <c r="B94" s="2" t="s">
        <v>51</v>
      </c>
    </row>
    <row r="95" spans="1:2" ht="20.100000000000001" customHeight="1" x14ac:dyDescent="0.45">
      <c r="A95" s="2" t="s">
        <v>169</v>
      </c>
      <c r="B95" s="2" t="s">
        <v>51</v>
      </c>
    </row>
    <row r="96" spans="1:2" ht="20.100000000000001" hidden="1" customHeight="1" x14ac:dyDescent="0.45">
      <c r="A96" s="2" t="s">
        <v>170</v>
      </c>
      <c r="B96" s="2" t="s">
        <v>37</v>
      </c>
    </row>
    <row r="97" spans="1:2" ht="20.100000000000001" hidden="1" customHeight="1" x14ac:dyDescent="0.45">
      <c r="A97" s="2" t="s">
        <v>170</v>
      </c>
      <c r="B97" s="2" t="s">
        <v>39</v>
      </c>
    </row>
    <row r="98" spans="1:2" ht="20.100000000000001" hidden="1" customHeight="1" x14ac:dyDescent="0.45">
      <c r="A98" s="2" t="s">
        <v>171</v>
      </c>
      <c r="B98" s="2" t="s">
        <v>37</v>
      </c>
    </row>
    <row r="99" spans="1:2" ht="20.100000000000001" hidden="1" customHeight="1" x14ac:dyDescent="0.45">
      <c r="A99" s="2" t="s">
        <v>171</v>
      </c>
      <c r="B99" s="2" t="s">
        <v>39</v>
      </c>
    </row>
    <row r="100" spans="1:2" ht="20.100000000000001" hidden="1" customHeight="1" x14ac:dyDescent="0.45">
      <c r="A100" s="2" t="s">
        <v>172</v>
      </c>
      <c r="B100" s="2" t="s">
        <v>48</v>
      </c>
    </row>
    <row r="101" spans="1:2" ht="20.100000000000001" hidden="1" customHeight="1" x14ac:dyDescent="0.45">
      <c r="A101" s="2" t="s">
        <v>173</v>
      </c>
      <c r="B101" s="2" t="s">
        <v>48</v>
      </c>
    </row>
    <row r="102" spans="1:2" ht="20.100000000000001" hidden="1" customHeight="1" x14ac:dyDescent="0.45">
      <c r="A102" s="2" t="s">
        <v>174</v>
      </c>
      <c r="B102" s="2" t="s">
        <v>48</v>
      </c>
    </row>
    <row r="103" spans="1:2" ht="20.100000000000001" hidden="1" customHeight="1" x14ac:dyDescent="0.45">
      <c r="A103" s="2" t="s">
        <v>175</v>
      </c>
      <c r="B103" s="2" t="s">
        <v>48</v>
      </c>
    </row>
    <row r="104" spans="1:2" ht="20.100000000000001" hidden="1" customHeight="1" x14ac:dyDescent="0.45">
      <c r="A104" s="2" t="s">
        <v>176</v>
      </c>
      <c r="B104" s="2" t="s">
        <v>48</v>
      </c>
    </row>
    <row r="105" spans="1:2" ht="20.100000000000001" hidden="1" customHeight="1" x14ac:dyDescent="0.45">
      <c r="A105" s="2" t="s">
        <v>177</v>
      </c>
      <c r="B105" s="2" t="s">
        <v>48</v>
      </c>
    </row>
    <row r="106" spans="1:2" ht="20.100000000000001" hidden="1" customHeight="1" x14ac:dyDescent="0.45">
      <c r="A106" s="2" t="s">
        <v>178</v>
      </c>
      <c r="B106" s="2" t="s">
        <v>48</v>
      </c>
    </row>
    <row r="107" spans="1:2" ht="20.100000000000001" hidden="1" customHeight="1" x14ac:dyDescent="0.45">
      <c r="A107" s="2" t="s">
        <v>179</v>
      </c>
      <c r="B107" s="2" t="s">
        <v>48</v>
      </c>
    </row>
    <row r="108" spans="1:2" ht="20.100000000000001" hidden="1" customHeight="1" x14ac:dyDescent="0.45">
      <c r="A108" s="2" t="s">
        <v>180</v>
      </c>
      <c r="B108" s="2" t="s">
        <v>48</v>
      </c>
    </row>
    <row r="109" spans="1:2" ht="20.100000000000001" hidden="1" customHeight="1" x14ac:dyDescent="0.45">
      <c r="A109" s="2" t="s">
        <v>181</v>
      </c>
      <c r="B109" s="2" t="s">
        <v>48</v>
      </c>
    </row>
    <row r="110" spans="1:2" ht="20.100000000000001" hidden="1" customHeight="1" x14ac:dyDescent="0.45">
      <c r="A110" s="2" t="s">
        <v>182</v>
      </c>
      <c r="B110" s="2" t="s">
        <v>48</v>
      </c>
    </row>
    <row r="111" spans="1:2" ht="20.100000000000001" hidden="1" customHeight="1" x14ac:dyDescent="0.45">
      <c r="A111" s="2" t="s">
        <v>183</v>
      </c>
      <c r="B111" s="2" t="s">
        <v>39</v>
      </c>
    </row>
    <row r="112" spans="1:2" ht="20.100000000000001" hidden="1" customHeight="1" x14ac:dyDescent="0.45">
      <c r="A112" s="2" t="s">
        <v>184</v>
      </c>
      <c r="B112" s="2" t="s">
        <v>37</v>
      </c>
    </row>
    <row r="113" spans="1:2" ht="20.100000000000001" customHeight="1" x14ac:dyDescent="0.45">
      <c r="A113" s="2" t="s">
        <v>184</v>
      </c>
      <c r="B113" s="2" t="s">
        <v>51</v>
      </c>
    </row>
    <row r="114" spans="1:2" ht="20.100000000000001" hidden="1" customHeight="1" x14ac:dyDescent="0.45">
      <c r="A114" s="2" t="s">
        <v>185</v>
      </c>
      <c r="B114" s="2" t="s">
        <v>54</v>
      </c>
    </row>
    <row r="115" spans="1:2" ht="20.100000000000001" hidden="1" customHeight="1" x14ac:dyDescent="0.45">
      <c r="A115" s="2" t="s">
        <v>186</v>
      </c>
      <c r="B115" s="2" t="s">
        <v>54</v>
      </c>
    </row>
    <row r="116" spans="1:2" ht="20.100000000000001" hidden="1" customHeight="1" x14ac:dyDescent="0.45">
      <c r="A116" s="2" t="s">
        <v>187</v>
      </c>
      <c r="B116" s="2" t="s">
        <v>1254</v>
      </c>
    </row>
    <row r="117" spans="1:2" ht="20.100000000000001" hidden="1" customHeight="1" x14ac:dyDescent="0.45">
      <c r="A117" s="2" t="s">
        <v>188</v>
      </c>
      <c r="B117" s="2" t="s">
        <v>1254</v>
      </c>
    </row>
    <row r="118" spans="1:2" ht="20.100000000000001" hidden="1" customHeight="1" x14ac:dyDescent="0.45">
      <c r="A118" s="2" t="s">
        <v>189</v>
      </c>
      <c r="B118" s="2" t="s">
        <v>1254</v>
      </c>
    </row>
    <row r="119" spans="1:2" ht="20.100000000000001" hidden="1" customHeight="1" x14ac:dyDescent="0.45">
      <c r="A119" s="2" t="s">
        <v>190</v>
      </c>
      <c r="B119" s="2" t="s">
        <v>1254</v>
      </c>
    </row>
    <row r="120" spans="1:2" ht="20.100000000000001" hidden="1" customHeight="1" x14ac:dyDescent="0.45">
      <c r="A120" s="2" t="s">
        <v>191</v>
      </c>
      <c r="B120" s="2" t="s">
        <v>1254</v>
      </c>
    </row>
    <row r="121" spans="1:2" ht="20.100000000000001" hidden="1" customHeight="1" x14ac:dyDescent="0.45">
      <c r="A121" s="2" t="s">
        <v>192</v>
      </c>
      <c r="B121" s="2" t="s">
        <v>1254</v>
      </c>
    </row>
    <row r="122" spans="1:2" ht="20.100000000000001" hidden="1" customHeight="1" x14ac:dyDescent="0.45">
      <c r="A122" s="2" t="s">
        <v>193</v>
      </c>
      <c r="B122" s="2" t="s">
        <v>1254</v>
      </c>
    </row>
    <row r="123" spans="1:2" ht="20.100000000000001" hidden="1" customHeight="1" x14ac:dyDescent="0.45">
      <c r="A123" s="2" t="s">
        <v>194</v>
      </c>
      <c r="B123" s="2" t="s">
        <v>1254</v>
      </c>
    </row>
    <row r="124" spans="1:2" ht="20.100000000000001" hidden="1" customHeight="1" x14ac:dyDescent="0.45">
      <c r="A124" s="2" t="s">
        <v>195</v>
      </c>
      <c r="B124" s="2" t="s">
        <v>1254</v>
      </c>
    </row>
    <row r="125" spans="1:2" ht="20.100000000000001" hidden="1" customHeight="1" x14ac:dyDescent="0.45">
      <c r="A125" s="2" t="s">
        <v>196</v>
      </c>
      <c r="B125" s="2" t="s">
        <v>1254</v>
      </c>
    </row>
    <row r="126" spans="1:2" ht="20.100000000000001" hidden="1" customHeight="1" x14ac:dyDescent="0.45">
      <c r="A126" s="2" t="s">
        <v>197</v>
      </c>
      <c r="B126" s="2" t="s">
        <v>1254</v>
      </c>
    </row>
    <row r="127" spans="1:2" ht="20.100000000000001" hidden="1" customHeight="1" x14ac:dyDescent="0.45">
      <c r="A127" s="2" t="s">
        <v>198</v>
      </c>
      <c r="B127" s="2" t="s">
        <v>1254</v>
      </c>
    </row>
    <row r="128" spans="1:2" ht="20.100000000000001" hidden="1" customHeight="1" x14ac:dyDescent="0.45">
      <c r="A128" s="2" t="s">
        <v>199</v>
      </c>
      <c r="B128" s="2" t="s">
        <v>1254</v>
      </c>
    </row>
    <row r="129" spans="1:2" ht="20.100000000000001" hidden="1" customHeight="1" x14ac:dyDescent="0.45">
      <c r="A129" s="2" t="s">
        <v>200</v>
      </c>
      <c r="B129" s="2" t="s">
        <v>1254</v>
      </c>
    </row>
    <row r="130" spans="1:2" ht="20.100000000000001" customHeight="1" x14ac:dyDescent="0.45">
      <c r="A130" s="2" t="s">
        <v>201</v>
      </c>
      <c r="B130" s="2" t="s">
        <v>51</v>
      </c>
    </row>
    <row r="131" spans="1:2" ht="20.100000000000001" customHeight="1" x14ac:dyDescent="0.45">
      <c r="A131" s="2" t="s">
        <v>202</v>
      </c>
      <c r="B131" s="2" t="s">
        <v>51</v>
      </c>
    </row>
    <row r="132" spans="1:2" ht="20.100000000000001" hidden="1" customHeight="1" x14ac:dyDescent="0.45">
      <c r="A132" s="2" t="s">
        <v>203</v>
      </c>
      <c r="B132" s="2" t="s">
        <v>42</v>
      </c>
    </row>
    <row r="133" spans="1:2" ht="20.100000000000001" hidden="1" customHeight="1" x14ac:dyDescent="0.45">
      <c r="A133" s="2" t="s">
        <v>204</v>
      </c>
      <c r="B133" s="2" t="s">
        <v>1254</v>
      </c>
    </row>
    <row r="134" spans="1:2" ht="20.100000000000001" hidden="1" customHeight="1" x14ac:dyDescent="0.45">
      <c r="A134" s="2" t="s">
        <v>205</v>
      </c>
      <c r="B134" s="2" t="s">
        <v>1254</v>
      </c>
    </row>
    <row r="135" spans="1:2" ht="20.100000000000001" hidden="1" customHeight="1" x14ac:dyDescent="0.45">
      <c r="A135" s="2" t="s">
        <v>206</v>
      </c>
      <c r="B135" s="2" t="s">
        <v>1254</v>
      </c>
    </row>
    <row r="136" spans="1:2" ht="20.100000000000001" hidden="1" customHeight="1" x14ac:dyDescent="0.45">
      <c r="A136" s="2" t="s">
        <v>207</v>
      </c>
      <c r="B136" s="2" t="s">
        <v>1254</v>
      </c>
    </row>
    <row r="137" spans="1:2" ht="20.100000000000001" hidden="1" customHeight="1" x14ac:dyDescent="0.45">
      <c r="A137" s="2" t="s">
        <v>208</v>
      </c>
      <c r="B137" s="2" t="s">
        <v>1254</v>
      </c>
    </row>
    <row r="138" spans="1:2" ht="20.100000000000001" hidden="1" customHeight="1" x14ac:dyDescent="0.45">
      <c r="A138" s="2" t="s">
        <v>209</v>
      </c>
      <c r="B138" s="2" t="s">
        <v>1254</v>
      </c>
    </row>
    <row r="139" spans="1:2" ht="20.100000000000001" hidden="1" customHeight="1" x14ac:dyDescent="0.45">
      <c r="A139" s="2" t="s">
        <v>210</v>
      </c>
      <c r="B139" s="2" t="s">
        <v>1254</v>
      </c>
    </row>
    <row r="140" spans="1:2" ht="20.100000000000001" hidden="1" customHeight="1" x14ac:dyDescent="0.45">
      <c r="A140" s="2" t="s">
        <v>211</v>
      </c>
      <c r="B140" s="2" t="s">
        <v>42</v>
      </c>
    </row>
    <row r="141" spans="1:2" ht="20.100000000000001" hidden="1" customHeight="1" x14ac:dyDescent="0.45">
      <c r="A141" s="2" t="s">
        <v>212</v>
      </c>
      <c r="B141" s="2" t="s">
        <v>213</v>
      </c>
    </row>
    <row r="142" spans="1:2" ht="20.100000000000001" hidden="1" customHeight="1" x14ac:dyDescent="0.45">
      <c r="A142" s="2" t="s">
        <v>214</v>
      </c>
      <c r="B142" s="2" t="s">
        <v>213</v>
      </c>
    </row>
    <row r="143" spans="1:2" ht="20.100000000000001" hidden="1" customHeight="1" x14ac:dyDescent="0.45">
      <c r="A143" s="2" t="s">
        <v>215</v>
      </c>
      <c r="B143" s="2" t="s">
        <v>213</v>
      </c>
    </row>
    <row r="144" spans="1:2" ht="20.100000000000001" hidden="1" customHeight="1" x14ac:dyDescent="0.45">
      <c r="A144" s="2" t="s">
        <v>216</v>
      </c>
      <c r="B144" s="2" t="s">
        <v>213</v>
      </c>
    </row>
    <row r="145" spans="1:2" ht="20.100000000000001" hidden="1" customHeight="1" x14ac:dyDescent="0.45">
      <c r="A145" s="2" t="s">
        <v>217</v>
      </c>
      <c r="B145" s="2" t="s">
        <v>213</v>
      </c>
    </row>
    <row r="146" spans="1:2" ht="20.100000000000001" hidden="1" customHeight="1" x14ac:dyDescent="0.45">
      <c r="A146" s="2" t="s">
        <v>218</v>
      </c>
      <c r="B146" s="2" t="s">
        <v>213</v>
      </c>
    </row>
    <row r="147" spans="1:2" ht="20.100000000000001" hidden="1" customHeight="1" x14ac:dyDescent="0.45">
      <c r="A147" s="2" t="s">
        <v>219</v>
      </c>
      <c r="B147" s="2" t="s">
        <v>213</v>
      </c>
    </row>
    <row r="148" spans="1:2" ht="20.100000000000001" hidden="1" customHeight="1" x14ac:dyDescent="0.45">
      <c r="A148" s="2" t="s">
        <v>220</v>
      </c>
      <c r="B148" s="2" t="s">
        <v>213</v>
      </c>
    </row>
    <row r="149" spans="1:2" ht="20.100000000000001" hidden="1" customHeight="1" x14ac:dyDescent="0.45">
      <c r="A149" s="2" t="s">
        <v>221</v>
      </c>
      <c r="B149" s="2" t="s">
        <v>42</v>
      </c>
    </row>
    <row r="150" spans="1:2" ht="20.100000000000001" hidden="1" customHeight="1" x14ac:dyDescent="0.45">
      <c r="A150" s="2" t="s">
        <v>221</v>
      </c>
      <c r="B150" s="2" t="s">
        <v>39</v>
      </c>
    </row>
    <row r="151" spans="1:2" ht="20.100000000000001" hidden="1" customHeight="1" x14ac:dyDescent="0.45">
      <c r="A151" s="2" t="s">
        <v>222</v>
      </c>
      <c r="B151" s="2" t="s">
        <v>42</v>
      </c>
    </row>
    <row r="152" spans="1:2" ht="20.100000000000001" hidden="1" customHeight="1" x14ac:dyDescent="0.45">
      <c r="A152" s="2" t="s">
        <v>222</v>
      </c>
      <c r="B152" s="2" t="s">
        <v>37</v>
      </c>
    </row>
    <row r="153" spans="1:2" ht="20.100000000000001" hidden="1" customHeight="1" x14ac:dyDescent="0.45">
      <c r="A153" s="2" t="s">
        <v>223</v>
      </c>
      <c r="B153" s="2" t="s">
        <v>42</v>
      </c>
    </row>
    <row r="154" spans="1:2" ht="20.100000000000001" hidden="1" customHeight="1" x14ac:dyDescent="0.45">
      <c r="A154" s="2" t="s">
        <v>223</v>
      </c>
      <c r="B154" s="2" t="s">
        <v>37</v>
      </c>
    </row>
    <row r="155" spans="1:2" ht="20.100000000000001" hidden="1" customHeight="1" x14ac:dyDescent="0.45">
      <c r="A155" s="2" t="s">
        <v>224</v>
      </c>
      <c r="B155" s="2" t="s">
        <v>37</v>
      </c>
    </row>
    <row r="156" spans="1:2" ht="20.100000000000001" customHeight="1" x14ac:dyDescent="0.45">
      <c r="A156" s="2" t="s">
        <v>225</v>
      </c>
      <c r="B156" s="2" t="s">
        <v>51</v>
      </c>
    </row>
    <row r="157" spans="1:2" ht="20.100000000000001" customHeight="1" x14ac:dyDescent="0.45">
      <c r="A157" s="2" t="s">
        <v>226</v>
      </c>
      <c r="B157" s="2" t="s">
        <v>51</v>
      </c>
    </row>
    <row r="158" spans="1:2" ht="20.100000000000001" customHeight="1" x14ac:dyDescent="0.45">
      <c r="A158" s="2" t="s">
        <v>226</v>
      </c>
      <c r="B158" s="2" t="s">
        <v>51</v>
      </c>
    </row>
    <row r="159" spans="1:2" ht="20.100000000000001" hidden="1" customHeight="1" x14ac:dyDescent="0.45">
      <c r="A159" s="2" t="s">
        <v>227</v>
      </c>
      <c r="B159" s="2" t="s">
        <v>39</v>
      </c>
    </row>
    <row r="160" spans="1:2" ht="20.100000000000001" hidden="1" customHeight="1" x14ac:dyDescent="0.45">
      <c r="A160" s="2" t="s">
        <v>227</v>
      </c>
      <c r="B160" s="2" t="s">
        <v>41</v>
      </c>
    </row>
    <row r="161" spans="1:2" ht="20.100000000000001" hidden="1" customHeight="1" x14ac:dyDescent="0.45">
      <c r="A161" s="2" t="s">
        <v>228</v>
      </c>
      <c r="B161" s="2" t="s">
        <v>1254</v>
      </c>
    </row>
    <row r="162" spans="1:2" ht="20.100000000000001" hidden="1" customHeight="1" x14ac:dyDescent="0.45">
      <c r="A162" s="2" t="s">
        <v>229</v>
      </c>
      <c r="B162" s="2" t="s">
        <v>42</v>
      </c>
    </row>
    <row r="163" spans="1:2" ht="20.100000000000001" hidden="1" customHeight="1" x14ac:dyDescent="0.45">
      <c r="A163" s="2" t="s">
        <v>230</v>
      </c>
      <c r="B163" s="2" t="s">
        <v>213</v>
      </c>
    </row>
    <row r="164" spans="1:2" ht="20.100000000000001" hidden="1" customHeight="1" x14ac:dyDescent="0.45">
      <c r="A164" s="2" t="s">
        <v>231</v>
      </c>
      <c r="B164" s="2" t="s">
        <v>213</v>
      </c>
    </row>
    <row r="165" spans="1:2" ht="20.100000000000001" hidden="1" customHeight="1" x14ac:dyDescent="0.45">
      <c r="A165" s="2" t="s">
        <v>232</v>
      </c>
      <c r="B165" s="2" t="s">
        <v>213</v>
      </c>
    </row>
    <row r="166" spans="1:2" ht="20.100000000000001" hidden="1" customHeight="1" x14ac:dyDescent="0.45">
      <c r="A166" s="2" t="s">
        <v>233</v>
      </c>
      <c r="B166" s="2" t="s">
        <v>213</v>
      </c>
    </row>
    <row r="167" spans="1:2" ht="20.100000000000001" customHeight="1" x14ac:dyDescent="0.45">
      <c r="A167" s="2" t="s">
        <v>234</v>
      </c>
      <c r="B167" s="2" t="s">
        <v>51</v>
      </c>
    </row>
    <row r="168" spans="1:2" ht="20.100000000000001" customHeight="1" x14ac:dyDescent="0.45">
      <c r="A168" s="2" t="s">
        <v>235</v>
      </c>
      <c r="B168" s="2" t="s">
        <v>51</v>
      </c>
    </row>
    <row r="169" spans="1:2" ht="20.100000000000001" customHeight="1" x14ac:dyDescent="0.45">
      <c r="A169" s="2" t="s">
        <v>236</v>
      </c>
      <c r="B169" s="2" t="s">
        <v>51</v>
      </c>
    </row>
    <row r="170" spans="1:2" ht="20.100000000000001" customHeight="1" x14ac:dyDescent="0.45">
      <c r="A170" s="2" t="s">
        <v>237</v>
      </c>
      <c r="B170" s="2" t="s">
        <v>51</v>
      </c>
    </row>
    <row r="171" spans="1:2" ht="20.100000000000001" hidden="1" customHeight="1" x14ac:dyDescent="0.45">
      <c r="A171" s="2" t="s">
        <v>238</v>
      </c>
      <c r="B171" s="2" t="s">
        <v>213</v>
      </c>
    </row>
    <row r="172" spans="1:2" ht="20.100000000000001" hidden="1" customHeight="1" x14ac:dyDescent="0.45">
      <c r="A172" s="2" t="s">
        <v>239</v>
      </c>
      <c r="B172" s="2" t="s">
        <v>213</v>
      </c>
    </row>
    <row r="173" spans="1:2" ht="20.100000000000001" hidden="1" customHeight="1" x14ac:dyDescent="0.45">
      <c r="A173" s="2" t="s">
        <v>240</v>
      </c>
      <c r="B173" s="2" t="s">
        <v>213</v>
      </c>
    </row>
    <row r="174" spans="1:2" ht="20.100000000000001" hidden="1" customHeight="1" x14ac:dyDescent="0.45">
      <c r="A174" s="2" t="s">
        <v>241</v>
      </c>
      <c r="B174" s="2" t="s">
        <v>213</v>
      </c>
    </row>
    <row r="175" spans="1:2" ht="20.100000000000001" hidden="1" customHeight="1" x14ac:dyDescent="0.45">
      <c r="A175" s="2" t="s">
        <v>242</v>
      </c>
      <c r="B175" s="2" t="s">
        <v>213</v>
      </c>
    </row>
    <row r="176" spans="1:2" ht="20.100000000000001" hidden="1" customHeight="1" x14ac:dyDescent="0.45">
      <c r="A176" s="2" t="s">
        <v>243</v>
      </c>
      <c r="B176" s="2" t="s">
        <v>41</v>
      </c>
    </row>
    <row r="177" spans="1:2" ht="20.100000000000001" hidden="1" customHeight="1" x14ac:dyDescent="0.45">
      <c r="A177" s="2" t="s">
        <v>243</v>
      </c>
      <c r="B177" s="2" t="s">
        <v>42</v>
      </c>
    </row>
    <row r="178" spans="1:2" ht="20.100000000000001" hidden="1" customHeight="1" x14ac:dyDescent="0.45">
      <c r="A178" s="2" t="s">
        <v>243</v>
      </c>
      <c r="B178" s="2" t="s">
        <v>37</v>
      </c>
    </row>
    <row r="179" spans="1:2" ht="20.100000000000001" hidden="1" customHeight="1" x14ac:dyDescent="0.45">
      <c r="A179" s="2" t="s">
        <v>244</v>
      </c>
      <c r="B179" s="2" t="s">
        <v>41</v>
      </c>
    </row>
    <row r="180" spans="1:2" ht="20.100000000000001" hidden="1" customHeight="1" x14ac:dyDescent="0.45">
      <c r="A180" s="2" t="s">
        <v>244</v>
      </c>
      <c r="B180" s="2" t="s">
        <v>42</v>
      </c>
    </row>
    <row r="181" spans="1:2" ht="20.100000000000001" hidden="1" customHeight="1" x14ac:dyDescent="0.45">
      <c r="A181" s="2" t="s">
        <v>244</v>
      </c>
      <c r="B181" s="2" t="s">
        <v>37</v>
      </c>
    </row>
    <row r="182" spans="1:2" ht="20.100000000000001" hidden="1" customHeight="1" x14ac:dyDescent="0.45">
      <c r="A182" s="2" t="s">
        <v>245</v>
      </c>
      <c r="B182" s="2"/>
    </row>
    <row r="183" spans="1:2" ht="20.100000000000001" hidden="1" customHeight="1" x14ac:dyDescent="0.45">
      <c r="A183" s="2" t="s">
        <v>246</v>
      </c>
      <c r="B183" s="2" t="s">
        <v>42</v>
      </c>
    </row>
    <row r="184" spans="1:2" ht="20.100000000000001" hidden="1" customHeight="1" x14ac:dyDescent="0.45">
      <c r="A184" s="2" t="s">
        <v>247</v>
      </c>
      <c r="B184" s="2" t="s">
        <v>37</v>
      </c>
    </row>
    <row r="185" spans="1:2" ht="20.100000000000001" hidden="1" customHeight="1" x14ac:dyDescent="0.45">
      <c r="A185" s="2" t="s">
        <v>248</v>
      </c>
      <c r="B185" s="2" t="s">
        <v>37</v>
      </c>
    </row>
    <row r="186" spans="1:2" ht="20.100000000000001" hidden="1" customHeight="1" x14ac:dyDescent="0.45">
      <c r="A186" s="2" t="s">
        <v>249</v>
      </c>
      <c r="B186" s="2" t="s">
        <v>37</v>
      </c>
    </row>
    <row r="187" spans="1:2" ht="20.100000000000001" hidden="1" customHeight="1" x14ac:dyDescent="0.45">
      <c r="A187" s="2" t="s">
        <v>250</v>
      </c>
      <c r="B187" s="2" t="s">
        <v>41</v>
      </c>
    </row>
    <row r="188" spans="1:2" ht="20.100000000000001" customHeight="1" x14ac:dyDescent="0.45">
      <c r="A188" s="2" t="s">
        <v>251</v>
      </c>
      <c r="B188" s="2" t="s">
        <v>51</v>
      </c>
    </row>
    <row r="189" spans="1:2" ht="20.100000000000001" customHeight="1" x14ac:dyDescent="0.45">
      <c r="A189" s="2" t="s">
        <v>252</v>
      </c>
      <c r="B189" s="2" t="s">
        <v>51</v>
      </c>
    </row>
    <row r="190" spans="1:2" ht="20.100000000000001" customHeight="1" x14ac:dyDescent="0.45">
      <c r="A190" s="2" t="s">
        <v>253</v>
      </c>
      <c r="B190" s="2" t="s">
        <v>51</v>
      </c>
    </row>
    <row r="191" spans="1:2" ht="20.100000000000001" customHeight="1" x14ac:dyDescent="0.45">
      <c r="A191" s="2" t="s">
        <v>254</v>
      </c>
      <c r="B191" s="2" t="s">
        <v>51</v>
      </c>
    </row>
    <row r="192" spans="1:2" ht="20.100000000000001" customHeight="1" x14ac:dyDescent="0.45">
      <c r="A192" s="2" t="s">
        <v>255</v>
      </c>
      <c r="B192" s="2" t="s">
        <v>51</v>
      </c>
    </row>
    <row r="193" spans="1:2" ht="20.100000000000001" customHeight="1" x14ac:dyDescent="0.45">
      <c r="A193" s="2" t="s">
        <v>256</v>
      </c>
      <c r="B193" s="2" t="s">
        <v>51</v>
      </c>
    </row>
    <row r="194" spans="1:2" ht="20.100000000000001" customHeight="1" x14ac:dyDescent="0.45">
      <c r="A194" s="2" t="s">
        <v>257</v>
      </c>
      <c r="B194" s="2" t="s">
        <v>51</v>
      </c>
    </row>
    <row r="195" spans="1:2" ht="20.100000000000001" hidden="1" customHeight="1" x14ac:dyDescent="0.45">
      <c r="A195" s="2" t="s">
        <v>258</v>
      </c>
      <c r="B195" s="2" t="s">
        <v>213</v>
      </c>
    </row>
    <row r="196" spans="1:2" ht="20.100000000000001" customHeight="1" x14ac:dyDescent="0.45">
      <c r="A196" s="2" t="s">
        <v>259</v>
      </c>
      <c r="B196" s="2" t="s">
        <v>51</v>
      </c>
    </row>
    <row r="197" spans="1:2" ht="20.100000000000001" hidden="1" customHeight="1" x14ac:dyDescent="0.45">
      <c r="A197" s="2" t="s">
        <v>260</v>
      </c>
      <c r="B197" s="2" t="s">
        <v>37</v>
      </c>
    </row>
    <row r="198" spans="1:2" ht="20.100000000000001" hidden="1" customHeight="1" x14ac:dyDescent="0.45">
      <c r="A198" s="2" t="s">
        <v>260</v>
      </c>
      <c r="B198" s="2" t="s">
        <v>42</v>
      </c>
    </row>
    <row r="199" spans="1:2" ht="20.100000000000001" hidden="1" customHeight="1" x14ac:dyDescent="0.45">
      <c r="A199" s="2" t="s">
        <v>261</v>
      </c>
      <c r="B199" s="2" t="s">
        <v>37</v>
      </c>
    </row>
    <row r="200" spans="1:2" ht="20.100000000000001" hidden="1" customHeight="1" x14ac:dyDescent="0.45">
      <c r="A200" s="2" t="s">
        <v>261</v>
      </c>
      <c r="B200" s="2" t="s">
        <v>42</v>
      </c>
    </row>
    <row r="201" spans="1:2" ht="20.100000000000001" hidden="1" customHeight="1" x14ac:dyDescent="0.45">
      <c r="A201" s="2" t="s">
        <v>262</v>
      </c>
      <c r="B201" s="2" t="s">
        <v>37</v>
      </c>
    </row>
    <row r="202" spans="1:2" ht="20.100000000000001" hidden="1" customHeight="1" x14ac:dyDescent="0.45">
      <c r="A202" s="2" t="s">
        <v>263</v>
      </c>
      <c r="B202" s="2" t="s">
        <v>37</v>
      </c>
    </row>
    <row r="203" spans="1:2" ht="20.100000000000001" hidden="1" customHeight="1" x14ac:dyDescent="0.45">
      <c r="A203" s="2" t="s">
        <v>264</v>
      </c>
      <c r="B203" s="2" t="s">
        <v>37</v>
      </c>
    </row>
    <row r="204" spans="1:2" ht="20.100000000000001" hidden="1" customHeight="1" x14ac:dyDescent="0.45">
      <c r="A204" s="2" t="s">
        <v>265</v>
      </c>
      <c r="B204" s="2" t="s">
        <v>1254</v>
      </c>
    </row>
    <row r="205" spans="1:2" ht="20.100000000000001" hidden="1" customHeight="1" x14ac:dyDescent="0.45">
      <c r="A205" s="2" t="s">
        <v>266</v>
      </c>
      <c r="B205" s="2" t="s">
        <v>1254</v>
      </c>
    </row>
    <row r="206" spans="1:2" ht="20.100000000000001" hidden="1" customHeight="1" x14ac:dyDescent="0.45">
      <c r="A206" s="2" t="s">
        <v>267</v>
      </c>
      <c r="B206" s="2" t="s">
        <v>39</v>
      </c>
    </row>
    <row r="207" spans="1:2" ht="20.100000000000001" hidden="1" customHeight="1" x14ac:dyDescent="0.45">
      <c r="A207" s="2" t="s">
        <v>268</v>
      </c>
      <c r="B207" s="2" t="s">
        <v>39</v>
      </c>
    </row>
    <row r="208" spans="1:2" ht="20.100000000000001" hidden="1" customHeight="1" x14ac:dyDescent="0.45">
      <c r="A208" s="2" t="s">
        <v>269</v>
      </c>
      <c r="B208" s="2" t="s">
        <v>39</v>
      </c>
    </row>
    <row r="209" spans="1:2" ht="20.100000000000001" hidden="1" customHeight="1" x14ac:dyDescent="0.45">
      <c r="A209" s="2" t="s">
        <v>270</v>
      </c>
      <c r="B209" s="2" t="s">
        <v>39</v>
      </c>
    </row>
    <row r="210" spans="1:2" ht="20.100000000000001" hidden="1" customHeight="1" x14ac:dyDescent="0.45">
      <c r="A210" s="2" t="s">
        <v>271</v>
      </c>
      <c r="B210" s="2" t="s">
        <v>39</v>
      </c>
    </row>
    <row r="211" spans="1:2" ht="20.100000000000001" hidden="1" customHeight="1" x14ac:dyDescent="0.45">
      <c r="A211" s="2" t="s">
        <v>272</v>
      </c>
      <c r="B211" s="2" t="s">
        <v>39</v>
      </c>
    </row>
    <row r="212" spans="1:2" ht="20.100000000000001" hidden="1" customHeight="1" x14ac:dyDescent="0.45">
      <c r="A212" s="2" t="s">
        <v>273</v>
      </c>
      <c r="B212" s="2" t="s">
        <v>39</v>
      </c>
    </row>
    <row r="213" spans="1:2" ht="20.100000000000001" hidden="1" customHeight="1" x14ac:dyDescent="0.45">
      <c r="A213" s="2" t="s">
        <v>274</v>
      </c>
      <c r="B213" s="2" t="s">
        <v>39</v>
      </c>
    </row>
    <row r="214" spans="1:2" ht="20.100000000000001" hidden="1" customHeight="1" x14ac:dyDescent="0.45">
      <c r="A214" s="2" t="s">
        <v>275</v>
      </c>
      <c r="B214" s="2" t="s">
        <v>39</v>
      </c>
    </row>
    <row r="215" spans="1:2" ht="20.100000000000001" hidden="1" customHeight="1" x14ac:dyDescent="0.45">
      <c r="A215" s="2" t="s">
        <v>276</v>
      </c>
      <c r="B215" s="2" t="s">
        <v>39</v>
      </c>
    </row>
    <row r="216" spans="1:2" ht="20.100000000000001" hidden="1" customHeight="1" x14ac:dyDescent="0.45">
      <c r="A216" s="2" t="s">
        <v>277</v>
      </c>
      <c r="B216" s="2" t="s">
        <v>39</v>
      </c>
    </row>
    <row r="217" spans="1:2" ht="20.100000000000001" hidden="1" customHeight="1" x14ac:dyDescent="0.45">
      <c r="A217" s="2" t="s">
        <v>278</v>
      </c>
      <c r="B217" s="2" t="s">
        <v>39</v>
      </c>
    </row>
    <row r="218" spans="1:2" ht="20.100000000000001" hidden="1" customHeight="1" x14ac:dyDescent="0.45">
      <c r="A218" s="2" t="s">
        <v>278</v>
      </c>
      <c r="B218" s="2" t="s">
        <v>37</v>
      </c>
    </row>
    <row r="219" spans="1:2" ht="20.100000000000001" customHeight="1" x14ac:dyDescent="0.45">
      <c r="A219" s="2" t="s">
        <v>279</v>
      </c>
      <c r="B219" s="2" t="s">
        <v>51</v>
      </c>
    </row>
    <row r="220" spans="1:2" ht="20.100000000000001" customHeight="1" x14ac:dyDescent="0.45">
      <c r="A220" s="2" t="s">
        <v>280</v>
      </c>
      <c r="B220" s="2" t="s">
        <v>51</v>
      </c>
    </row>
    <row r="221" spans="1:2" ht="20.100000000000001" customHeight="1" x14ac:dyDescent="0.45">
      <c r="A221" s="2" t="s">
        <v>280</v>
      </c>
      <c r="B221" s="2" t="s">
        <v>51</v>
      </c>
    </row>
    <row r="222" spans="1:2" ht="20.100000000000001" customHeight="1" x14ac:dyDescent="0.45">
      <c r="A222" s="2" t="s">
        <v>281</v>
      </c>
      <c r="B222" s="2" t="s">
        <v>51</v>
      </c>
    </row>
    <row r="223" spans="1:2" ht="20.100000000000001" customHeight="1" x14ac:dyDescent="0.45">
      <c r="A223" s="2" t="s">
        <v>281</v>
      </c>
      <c r="B223" s="2" t="s">
        <v>51</v>
      </c>
    </row>
    <row r="224" spans="1:2" ht="20.100000000000001" customHeight="1" x14ac:dyDescent="0.45">
      <c r="A224" s="2" t="s">
        <v>282</v>
      </c>
      <c r="B224" s="2" t="s">
        <v>51</v>
      </c>
    </row>
    <row r="225" spans="1:2" ht="20.100000000000001" customHeight="1" x14ac:dyDescent="0.45">
      <c r="A225" s="2" t="s">
        <v>282</v>
      </c>
      <c r="B225" s="2" t="s">
        <v>51</v>
      </c>
    </row>
    <row r="226" spans="1:2" ht="20.100000000000001" hidden="1" customHeight="1" x14ac:dyDescent="0.45">
      <c r="A226" s="2" t="s">
        <v>283</v>
      </c>
      <c r="B226" s="2" t="s">
        <v>1254</v>
      </c>
    </row>
    <row r="227" spans="1:2" ht="20.100000000000001" hidden="1" customHeight="1" x14ac:dyDescent="0.45">
      <c r="A227" s="2" t="s">
        <v>284</v>
      </c>
      <c r="B227" s="2" t="s">
        <v>1254</v>
      </c>
    </row>
    <row r="228" spans="1:2" ht="20.100000000000001" hidden="1" customHeight="1" x14ac:dyDescent="0.45">
      <c r="A228" s="2" t="s">
        <v>285</v>
      </c>
      <c r="B228" s="2" t="s">
        <v>1254</v>
      </c>
    </row>
    <row r="229" spans="1:2" ht="20.100000000000001" hidden="1" customHeight="1" x14ac:dyDescent="0.45">
      <c r="A229" s="2" t="s">
        <v>286</v>
      </c>
      <c r="B229" s="2" t="s">
        <v>1254</v>
      </c>
    </row>
    <row r="230" spans="1:2" ht="20.100000000000001" hidden="1" customHeight="1" x14ac:dyDescent="0.45">
      <c r="A230" s="2" t="s">
        <v>287</v>
      </c>
      <c r="B230" s="2" t="s">
        <v>1254</v>
      </c>
    </row>
    <row r="231" spans="1:2" ht="20.100000000000001" hidden="1" customHeight="1" x14ac:dyDescent="0.45">
      <c r="A231" s="2" t="s">
        <v>288</v>
      </c>
      <c r="B231" s="2" t="s">
        <v>1254</v>
      </c>
    </row>
    <row r="232" spans="1:2" ht="20.100000000000001" hidden="1" customHeight="1" x14ac:dyDescent="0.45">
      <c r="A232" s="2" t="s">
        <v>289</v>
      </c>
      <c r="B232" s="2" t="s">
        <v>1254</v>
      </c>
    </row>
    <row r="233" spans="1:2" ht="20.100000000000001" hidden="1" customHeight="1" x14ac:dyDescent="0.45">
      <c r="A233" s="2" t="s">
        <v>290</v>
      </c>
      <c r="B233" s="2" t="s">
        <v>1254</v>
      </c>
    </row>
    <row r="234" spans="1:2" ht="20.100000000000001" hidden="1" customHeight="1" x14ac:dyDescent="0.45">
      <c r="A234" s="2" t="s">
        <v>291</v>
      </c>
      <c r="B234" s="2" t="s">
        <v>1254</v>
      </c>
    </row>
    <row r="235" spans="1:2" ht="20.100000000000001" hidden="1" customHeight="1" x14ac:dyDescent="0.45">
      <c r="A235" s="2" t="s">
        <v>292</v>
      </c>
      <c r="B235" s="2" t="s">
        <v>1254</v>
      </c>
    </row>
    <row r="236" spans="1:2" ht="20.100000000000001" hidden="1" customHeight="1" x14ac:dyDescent="0.45">
      <c r="A236" s="2" t="s">
        <v>293</v>
      </c>
      <c r="B236" s="2" t="s">
        <v>1254</v>
      </c>
    </row>
    <row r="237" spans="1:2" ht="20.100000000000001" hidden="1" customHeight="1" x14ac:dyDescent="0.45">
      <c r="A237" s="2" t="s">
        <v>294</v>
      </c>
      <c r="B237" s="2" t="s">
        <v>1254</v>
      </c>
    </row>
    <row r="238" spans="1:2" ht="20.100000000000001" hidden="1" customHeight="1" x14ac:dyDescent="0.45">
      <c r="A238" s="2" t="s">
        <v>295</v>
      </c>
      <c r="B238" s="2" t="s">
        <v>1254</v>
      </c>
    </row>
    <row r="239" spans="1:2" ht="20.100000000000001" hidden="1" customHeight="1" x14ac:dyDescent="0.45">
      <c r="A239" s="2" t="s">
        <v>296</v>
      </c>
      <c r="B239" s="2" t="s">
        <v>1254</v>
      </c>
    </row>
    <row r="240" spans="1:2" ht="20.100000000000001" hidden="1" customHeight="1" x14ac:dyDescent="0.45">
      <c r="A240" s="2" t="s">
        <v>297</v>
      </c>
      <c r="B240" s="2" t="s">
        <v>42</v>
      </c>
    </row>
    <row r="241" spans="1:2" ht="20.100000000000001" customHeight="1" x14ac:dyDescent="0.45">
      <c r="A241" s="2" t="s">
        <v>298</v>
      </c>
      <c r="B241" s="2" t="s">
        <v>51</v>
      </c>
    </row>
    <row r="242" spans="1:2" ht="20.100000000000001" customHeight="1" x14ac:dyDescent="0.45">
      <c r="A242" s="2" t="s">
        <v>299</v>
      </c>
      <c r="B242" s="2" t="s">
        <v>51</v>
      </c>
    </row>
    <row r="243" spans="1:2" ht="20.100000000000001" hidden="1" customHeight="1" x14ac:dyDescent="0.45">
      <c r="A243" s="2" t="s">
        <v>300</v>
      </c>
      <c r="B243" s="2" t="s">
        <v>37</v>
      </c>
    </row>
    <row r="244" spans="1:2" ht="20.100000000000001" hidden="1" customHeight="1" x14ac:dyDescent="0.45">
      <c r="A244" s="2" t="s">
        <v>301</v>
      </c>
      <c r="B244" s="2" t="s">
        <v>37</v>
      </c>
    </row>
    <row r="245" spans="1:2" ht="20.100000000000001" hidden="1" customHeight="1" x14ac:dyDescent="0.45">
      <c r="A245" s="2" t="s">
        <v>302</v>
      </c>
      <c r="B245" s="2" t="s">
        <v>37</v>
      </c>
    </row>
    <row r="246" spans="1:2" ht="20.100000000000001" hidden="1" customHeight="1" x14ac:dyDescent="0.45">
      <c r="A246" s="2" t="s">
        <v>303</v>
      </c>
      <c r="B246" s="2" t="s">
        <v>48</v>
      </c>
    </row>
    <row r="247" spans="1:2" ht="20.100000000000001" hidden="1" customHeight="1" x14ac:dyDescent="0.45">
      <c r="A247" s="2" t="s">
        <v>304</v>
      </c>
      <c r="B247" s="2" t="s">
        <v>48</v>
      </c>
    </row>
    <row r="248" spans="1:2" ht="20.100000000000001" hidden="1" customHeight="1" x14ac:dyDescent="0.45">
      <c r="A248" s="2" t="s">
        <v>305</v>
      </c>
      <c r="B248" s="2" t="s">
        <v>48</v>
      </c>
    </row>
    <row r="249" spans="1:2" ht="20.100000000000001" hidden="1" customHeight="1" x14ac:dyDescent="0.45">
      <c r="A249" s="2" t="s">
        <v>306</v>
      </c>
      <c r="B249" s="2" t="s">
        <v>47</v>
      </c>
    </row>
    <row r="250" spans="1:2" ht="20.100000000000001" hidden="1" customHeight="1" x14ac:dyDescent="0.45">
      <c r="A250" s="2" t="s">
        <v>307</v>
      </c>
      <c r="B250" s="2" t="s">
        <v>47</v>
      </c>
    </row>
    <row r="251" spans="1:2" ht="20.100000000000001" hidden="1" customHeight="1" x14ac:dyDescent="0.45">
      <c r="A251" s="2" t="s">
        <v>308</v>
      </c>
      <c r="B251" s="2" t="s">
        <v>47</v>
      </c>
    </row>
    <row r="252" spans="1:2" ht="20.100000000000001" hidden="1" customHeight="1" x14ac:dyDescent="0.45">
      <c r="A252" s="2" t="s">
        <v>309</v>
      </c>
      <c r="B252" s="2" t="s">
        <v>47</v>
      </c>
    </row>
    <row r="253" spans="1:2" ht="20.100000000000001" hidden="1" customHeight="1" x14ac:dyDescent="0.45">
      <c r="A253" s="2" t="s">
        <v>310</v>
      </c>
      <c r="B253" s="2" t="s">
        <v>47</v>
      </c>
    </row>
    <row r="254" spans="1:2" ht="20.100000000000001" hidden="1" customHeight="1" x14ac:dyDescent="0.45">
      <c r="A254" s="2" t="s">
        <v>311</v>
      </c>
      <c r="B254" s="2" t="s">
        <v>47</v>
      </c>
    </row>
    <row r="255" spans="1:2" ht="20.100000000000001" hidden="1" customHeight="1" x14ac:dyDescent="0.45">
      <c r="A255" s="2" t="s">
        <v>312</v>
      </c>
      <c r="B255" s="2" t="s">
        <v>41</v>
      </c>
    </row>
    <row r="256" spans="1:2" ht="20.100000000000001" hidden="1" customHeight="1" x14ac:dyDescent="0.45">
      <c r="A256" s="2" t="s">
        <v>313</v>
      </c>
      <c r="B256" s="2" t="s">
        <v>41</v>
      </c>
    </row>
    <row r="257" spans="1:2" ht="20.100000000000001" hidden="1" customHeight="1" x14ac:dyDescent="0.45">
      <c r="A257" s="2" t="s">
        <v>314</v>
      </c>
      <c r="B257" s="2" t="s">
        <v>37</v>
      </c>
    </row>
    <row r="258" spans="1:2" ht="20.100000000000001" hidden="1" customHeight="1" x14ac:dyDescent="0.45">
      <c r="A258" s="2" t="s">
        <v>315</v>
      </c>
      <c r="B258" s="2" t="s">
        <v>42</v>
      </c>
    </row>
    <row r="259" spans="1:2" ht="20.100000000000001" hidden="1" customHeight="1" x14ac:dyDescent="0.45">
      <c r="A259" s="2" t="s">
        <v>316</v>
      </c>
      <c r="B259" s="2" t="s">
        <v>1254</v>
      </c>
    </row>
    <row r="260" spans="1:2" ht="20.100000000000001" hidden="1" customHeight="1" x14ac:dyDescent="0.45">
      <c r="A260" s="2" t="s">
        <v>317</v>
      </c>
      <c r="B260" s="2" t="s">
        <v>1254</v>
      </c>
    </row>
    <row r="261" spans="1:2" ht="20.100000000000001" hidden="1" customHeight="1" x14ac:dyDescent="0.45">
      <c r="A261" s="2" t="s">
        <v>318</v>
      </c>
      <c r="B261" s="2" t="s">
        <v>37</v>
      </c>
    </row>
    <row r="262" spans="1:2" ht="20.100000000000001" hidden="1" customHeight="1" x14ac:dyDescent="0.45">
      <c r="A262" s="2" t="s">
        <v>318</v>
      </c>
      <c r="B262" s="2" t="s">
        <v>42</v>
      </c>
    </row>
    <row r="263" spans="1:2" ht="20.100000000000001" hidden="1" customHeight="1" x14ac:dyDescent="0.45">
      <c r="A263" s="2" t="s">
        <v>319</v>
      </c>
      <c r="B263" s="2" t="s">
        <v>47</v>
      </c>
    </row>
    <row r="264" spans="1:2" ht="20.100000000000001" hidden="1" customHeight="1" x14ac:dyDescent="0.45">
      <c r="A264" s="2" t="s">
        <v>320</v>
      </c>
      <c r="B264" s="2" t="s">
        <v>47</v>
      </c>
    </row>
    <row r="265" spans="1:2" ht="20.100000000000001" hidden="1" customHeight="1" x14ac:dyDescent="0.45">
      <c r="A265" s="2" t="s">
        <v>321</v>
      </c>
      <c r="B265" s="2" t="s">
        <v>47</v>
      </c>
    </row>
    <row r="266" spans="1:2" ht="20.100000000000001" hidden="1" customHeight="1" x14ac:dyDescent="0.45">
      <c r="A266" s="2" t="s">
        <v>322</v>
      </c>
      <c r="B266" s="2" t="s">
        <v>37</v>
      </c>
    </row>
    <row r="267" spans="1:2" ht="20.100000000000001" hidden="1" customHeight="1" x14ac:dyDescent="0.45">
      <c r="A267" s="2" t="s">
        <v>322</v>
      </c>
      <c r="B267" s="2" t="s">
        <v>42</v>
      </c>
    </row>
    <row r="268" spans="1:2" ht="20.100000000000001" hidden="1" customHeight="1" x14ac:dyDescent="0.45">
      <c r="A268" s="2" t="s">
        <v>323</v>
      </c>
      <c r="B268" s="2" t="s">
        <v>1254</v>
      </c>
    </row>
    <row r="269" spans="1:2" ht="20.100000000000001" hidden="1" customHeight="1" x14ac:dyDescent="0.45">
      <c r="A269" s="2" t="s">
        <v>324</v>
      </c>
      <c r="B269" s="2" t="s">
        <v>1254</v>
      </c>
    </row>
    <row r="270" spans="1:2" ht="20.100000000000001" hidden="1" customHeight="1" x14ac:dyDescent="0.45">
      <c r="A270" s="2" t="s">
        <v>325</v>
      </c>
      <c r="B270" s="2" t="s">
        <v>47</v>
      </c>
    </row>
    <row r="271" spans="1:2" ht="20.100000000000001" hidden="1" customHeight="1" x14ac:dyDescent="0.45">
      <c r="A271" s="2" t="s">
        <v>326</v>
      </c>
      <c r="B271" s="2" t="s">
        <v>47</v>
      </c>
    </row>
    <row r="272" spans="1:2" ht="20.100000000000001" hidden="1" customHeight="1" x14ac:dyDescent="0.45">
      <c r="A272" s="2" t="s">
        <v>327</v>
      </c>
      <c r="B272" s="2" t="s">
        <v>47</v>
      </c>
    </row>
    <row r="273" spans="1:2" ht="20.100000000000001" hidden="1" customHeight="1" x14ac:dyDescent="0.45">
      <c r="A273" s="2" t="s">
        <v>328</v>
      </c>
      <c r="B273" s="2" t="s">
        <v>1254</v>
      </c>
    </row>
    <row r="274" spans="1:2" ht="20.100000000000001" hidden="1" customHeight="1" x14ac:dyDescent="0.45">
      <c r="A274" s="2" t="s">
        <v>329</v>
      </c>
      <c r="B274" s="2" t="s">
        <v>1254</v>
      </c>
    </row>
    <row r="275" spans="1:2" ht="20.100000000000001" hidden="1" customHeight="1" x14ac:dyDescent="0.45">
      <c r="A275" s="2" t="s">
        <v>330</v>
      </c>
      <c r="B275" s="2" t="s">
        <v>37</v>
      </c>
    </row>
    <row r="276" spans="1:2" ht="20.100000000000001" hidden="1" customHeight="1" x14ac:dyDescent="0.45">
      <c r="A276" s="2" t="s">
        <v>330</v>
      </c>
      <c r="B276" s="2" t="s">
        <v>42</v>
      </c>
    </row>
    <row r="277" spans="1:2" ht="20.100000000000001" hidden="1" customHeight="1" x14ac:dyDescent="0.45">
      <c r="A277" s="2" t="s">
        <v>330</v>
      </c>
      <c r="B277" s="2" t="s">
        <v>37</v>
      </c>
    </row>
    <row r="278" spans="1:2" ht="20.100000000000001" hidden="1" customHeight="1" x14ac:dyDescent="0.45">
      <c r="A278" s="2" t="s">
        <v>331</v>
      </c>
      <c r="B278" s="2" t="s">
        <v>37</v>
      </c>
    </row>
    <row r="279" spans="1:2" ht="20.100000000000001" hidden="1" customHeight="1" x14ac:dyDescent="0.45">
      <c r="A279" s="2" t="s">
        <v>331</v>
      </c>
      <c r="B279" s="2" t="s">
        <v>42</v>
      </c>
    </row>
    <row r="280" spans="1:2" ht="20.100000000000001" hidden="1" customHeight="1" x14ac:dyDescent="0.45">
      <c r="A280" s="2" t="s">
        <v>331</v>
      </c>
      <c r="B280" s="2" t="s">
        <v>37</v>
      </c>
    </row>
    <row r="281" spans="1:2" ht="20.100000000000001" hidden="1" customHeight="1" x14ac:dyDescent="0.45">
      <c r="A281" s="2" t="s">
        <v>332</v>
      </c>
      <c r="B281" s="2" t="s">
        <v>1254</v>
      </c>
    </row>
    <row r="282" spans="1:2" ht="20.100000000000001" hidden="1" customHeight="1" x14ac:dyDescent="0.45">
      <c r="A282" s="2" t="s">
        <v>333</v>
      </c>
      <c r="B282" s="2" t="s">
        <v>213</v>
      </c>
    </row>
    <row r="283" spans="1:2" ht="20.100000000000001" hidden="1" customHeight="1" x14ac:dyDescent="0.45">
      <c r="A283" s="2" t="s">
        <v>334</v>
      </c>
      <c r="B283" s="2" t="s">
        <v>48</v>
      </c>
    </row>
    <row r="284" spans="1:2" ht="20.100000000000001" hidden="1" customHeight="1" x14ac:dyDescent="0.45">
      <c r="A284" s="2" t="s">
        <v>335</v>
      </c>
      <c r="B284" s="2" t="s">
        <v>48</v>
      </c>
    </row>
    <row r="285" spans="1:2" ht="20.100000000000001" hidden="1" customHeight="1" x14ac:dyDescent="0.45">
      <c r="A285" s="2" t="s">
        <v>336</v>
      </c>
      <c r="B285" s="2" t="s">
        <v>48</v>
      </c>
    </row>
    <row r="286" spans="1:2" ht="20.100000000000001" customHeight="1" x14ac:dyDescent="0.45">
      <c r="A286" s="2" t="s">
        <v>337</v>
      </c>
      <c r="B286" s="2" t="s">
        <v>51</v>
      </c>
    </row>
    <row r="287" spans="1:2" ht="20.100000000000001" hidden="1" customHeight="1" x14ac:dyDescent="0.45">
      <c r="A287" s="2" t="s">
        <v>338</v>
      </c>
      <c r="B287" s="2" t="s">
        <v>213</v>
      </c>
    </row>
    <row r="288" spans="1:2" ht="20.100000000000001" hidden="1" customHeight="1" x14ac:dyDescent="0.45">
      <c r="A288" s="2" t="s">
        <v>339</v>
      </c>
      <c r="B288" s="2" t="s">
        <v>213</v>
      </c>
    </row>
    <row r="289" spans="1:2" ht="20.100000000000001" hidden="1" customHeight="1" x14ac:dyDescent="0.45">
      <c r="A289" s="2" t="s">
        <v>340</v>
      </c>
      <c r="B289" s="2" t="s">
        <v>1254</v>
      </c>
    </row>
    <row r="290" spans="1:2" ht="20.100000000000001" hidden="1" customHeight="1" x14ac:dyDescent="0.45">
      <c r="A290" s="2" t="s">
        <v>341</v>
      </c>
      <c r="B290" s="2" t="s">
        <v>1254</v>
      </c>
    </row>
    <row r="291" spans="1:2" ht="20.100000000000001" hidden="1" customHeight="1" x14ac:dyDescent="0.45">
      <c r="A291" s="2" t="s">
        <v>342</v>
      </c>
      <c r="B291" s="2" t="s">
        <v>48</v>
      </c>
    </row>
    <row r="292" spans="1:2" ht="20.100000000000001" hidden="1" customHeight="1" x14ac:dyDescent="0.45">
      <c r="A292" s="2" t="s">
        <v>343</v>
      </c>
      <c r="B292" s="2" t="s">
        <v>48</v>
      </c>
    </row>
    <row r="293" spans="1:2" ht="20.100000000000001" customHeight="1" x14ac:dyDescent="0.45">
      <c r="A293" s="2" t="s">
        <v>344</v>
      </c>
      <c r="B293" s="2" t="s">
        <v>51</v>
      </c>
    </row>
    <row r="294" spans="1:2" ht="20.100000000000001" hidden="1" customHeight="1" x14ac:dyDescent="0.45">
      <c r="A294" s="2" t="s">
        <v>345</v>
      </c>
      <c r="B294" s="2" t="s">
        <v>48</v>
      </c>
    </row>
    <row r="295" spans="1:2" ht="20.100000000000001" hidden="1" customHeight="1" x14ac:dyDescent="0.45">
      <c r="A295" s="2" t="s">
        <v>346</v>
      </c>
      <c r="B295" s="2" t="s">
        <v>41</v>
      </c>
    </row>
    <row r="296" spans="1:2" ht="20.100000000000001" hidden="1" customHeight="1" x14ac:dyDescent="0.45">
      <c r="A296" s="2" t="s">
        <v>346</v>
      </c>
      <c r="B296" s="2" t="s">
        <v>39</v>
      </c>
    </row>
    <row r="297" spans="1:2" ht="20.100000000000001" customHeight="1" x14ac:dyDescent="0.45">
      <c r="A297" s="2" t="s">
        <v>347</v>
      </c>
      <c r="B297" s="2" t="s">
        <v>51</v>
      </c>
    </row>
    <row r="298" spans="1:2" ht="20.100000000000001" customHeight="1" x14ac:dyDescent="0.45">
      <c r="A298" s="2" t="s">
        <v>348</v>
      </c>
      <c r="B298" s="2" t="s">
        <v>51</v>
      </c>
    </row>
    <row r="299" spans="1:2" ht="20.100000000000001" customHeight="1" x14ac:dyDescent="0.45">
      <c r="A299" s="2" t="s">
        <v>349</v>
      </c>
      <c r="B299" s="2" t="s">
        <v>51</v>
      </c>
    </row>
    <row r="300" spans="1:2" ht="20.100000000000001" hidden="1" customHeight="1" x14ac:dyDescent="0.45">
      <c r="A300" s="2" t="s">
        <v>350</v>
      </c>
      <c r="B300" s="2" t="s">
        <v>37</v>
      </c>
    </row>
    <row r="301" spans="1:2" ht="20.100000000000001" hidden="1" customHeight="1" x14ac:dyDescent="0.45">
      <c r="A301" s="2" t="s">
        <v>351</v>
      </c>
      <c r="B301" s="2" t="s">
        <v>37</v>
      </c>
    </row>
    <row r="302" spans="1:2" ht="20.100000000000001" customHeight="1" x14ac:dyDescent="0.45">
      <c r="A302" s="2" t="s">
        <v>351</v>
      </c>
      <c r="B302" s="2" t="s">
        <v>51</v>
      </c>
    </row>
    <row r="303" spans="1:2" ht="20.100000000000001" hidden="1" customHeight="1" x14ac:dyDescent="0.45">
      <c r="A303" s="2" t="s">
        <v>352</v>
      </c>
      <c r="B303" s="2" t="s">
        <v>41</v>
      </c>
    </row>
    <row r="304" spans="1:2" ht="20.100000000000001" hidden="1" customHeight="1" x14ac:dyDescent="0.45">
      <c r="A304" s="2" t="s">
        <v>353</v>
      </c>
      <c r="B304" s="2" t="s">
        <v>41</v>
      </c>
    </row>
    <row r="305" spans="1:2" ht="20.100000000000001" hidden="1" customHeight="1" x14ac:dyDescent="0.45">
      <c r="A305" s="2" t="s">
        <v>354</v>
      </c>
      <c r="B305" s="2" t="s">
        <v>47</v>
      </c>
    </row>
    <row r="306" spans="1:2" ht="20.100000000000001" hidden="1" customHeight="1" x14ac:dyDescent="0.45">
      <c r="A306" s="2" t="s">
        <v>355</v>
      </c>
      <c r="B306" s="2" t="s">
        <v>37</v>
      </c>
    </row>
    <row r="307" spans="1:2" ht="20.100000000000001" hidden="1" customHeight="1" x14ac:dyDescent="0.45">
      <c r="A307" s="2" t="s">
        <v>355</v>
      </c>
      <c r="B307" s="2" t="s">
        <v>39</v>
      </c>
    </row>
    <row r="308" spans="1:2" ht="20.100000000000001" hidden="1" customHeight="1" x14ac:dyDescent="0.45">
      <c r="A308" s="2" t="s">
        <v>355</v>
      </c>
      <c r="B308" s="2" t="s">
        <v>41</v>
      </c>
    </row>
    <row r="309" spans="1:2" ht="20.100000000000001" hidden="1" customHeight="1" x14ac:dyDescent="0.45">
      <c r="A309" s="2" t="s">
        <v>356</v>
      </c>
      <c r="B309" s="2" t="s">
        <v>37</v>
      </c>
    </row>
    <row r="310" spans="1:2" ht="20.100000000000001" hidden="1" customHeight="1" x14ac:dyDescent="0.45">
      <c r="A310" s="2" t="s">
        <v>356</v>
      </c>
      <c r="B310" s="2" t="s">
        <v>39</v>
      </c>
    </row>
    <row r="311" spans="1:2" ht="20.100000000000001" hidden="1" customHeight="1" x14ac:dyDescent="0.45">
      <c r="A311" s="2" t="s">
        <v>356</v>
      </c>
      <c r="B311" s="2" t="s">
        <v>41</v>
      </c>
    </row>
    <row r="312" spans="1:2" ht="20.100000000000001" hidden="1" customHeight="1" x14ac:dyDescent="0.45">
      <c r="A312" s="2" t="s">
        <v>357</v>
      </c>
      <c r="B312" s="2" t="s">
        <v>41</v>
      </c>
    </row>
    <row r="313" spans="1:2" ht="20.100000000000001" hidden="1" customHeight="1" x14ac:dyDescent="0.45">
      <c r="A313" s="2" t="s">
        <v>357</v>
      </c>
      <c r="B313" s="2" t="s">
        <v>37</v>
      </c>
    </row>
    <row r="314" spans="1:2" ht="20.100000000000001" hidden="1" customHeight="1" x14ac:dyDescent="0.45">
      <c r="A314" s="2" t="s">
        <v>358</v>
      </c>
      <c r="B314" s="2" t="s">
        <v>41</v>
      </c>
    </row>
    <row r="315" spans="1:2" ht="20.100000000000001" hidden="1" customHeight="1" x14ac:dyDescent="0.45">
      <c r="A315" s="2" t="s">
        <v>358</v>
      </c>
      <c r="B315" s="2" t="s">
        <v>37</v>
      </c>
    </row>
    <row r="316" spans="1:2" ht="20.100000000000001" hidden="1" customHeight="1" x14ac:dyDescent="0.45">
      <c r="A316" s="2" t="s">
        <v>359</v>
      </c>
      <c r="B316" s="2" t="s">
        <v>39</v>
      </c>
    </row>
    <row r="317" spans="1:2" ht="20.100000000000001" hidden="1" customHeight="1" x14ac:dyDescent="0.45">
      <c r="A317" s="2" t="s">
        <v>359</v>
      </c>
      <c r="B317" s="2" t="s">
        <v>37</v>
      </c>
    </row>
    <row r="318" spans="1:2" ht="20.100000000000001" hidden="1" customHeight="1" x14ac:dyDescent="0.45">
      <c r="A318" s="2" t="s">
        <v>359</v>
      </c>
      <c r="B318" s="2" t="s">
        <v>39</v>
      </c>
    </row>
    <row r="319" spans="1:2" ht="20.100000000000001" hidden="1" customHeight="1" x14ac:dyDescent="0.45">
      <c r="A319" s="2" t="s">
        <v>360</v>
      </c>
      <c r="B319" s="2" t="s">
        <v>39</v>
      </c>
    </row>
    <row r="320" spans="1:2" ht="20.100000000000001" hidden="1" customHeight="1" x14ac:dyDescent="0.45">
      <c r="A320" s="2" t="s">
        <v>360</v>
      </c>
      <c r="B320" s="2" t="s">
        <v>37</v>
      </c>
    </row>
    <row r="321" spans="1:2" ht="20.100000000000001" hidden="1" customHeight="1" x14ac:dyDescent="0.45">
      <c r="A321" s="2" t="s">
        <v>360</v>
      </c>
      <c r="B321" s="2" t="s">
        <v>39</v>
      </c>
    </row>
    <row r="322" spans="1:2" ht="20.100000000000001" customHeight="1" x14ac:dyDescent="0.45">
      <c r="A322" s="2" t="s">
        <v>361</v>
      </c>
      <c r="B322" s="2" t="s">
        <v>51</v>
      </c>
    </row>
    <row r="323" spans="1:2" ht="20.100000000000001" hidden="1" customHeight="1" x14ac:dyDescent="0.45">
      <c r="A323" s="2" t="s">
        <v>362</v>
      </c>
      <c r="B323" s="2" t="s">
        <v>1254</v>
      </c>
    </row>
    <row r="324" spans="1:2" ht="20.100000000000001" hidden="1" customHeight="1" x14ac:dyDescent="0.45">
      <c r="A324" s="2" t="s">
        <v>363</v>
      </c>
      <c r="B324" s="2" t="s">
        <v>1254</v>
      </c>
    </row>
    <row r="325" spans="1:2" ht="20.100000000000001" hidden="1" customHeight="1" x14ac:dyDescent="0.45">
      <c r="A325" s="2" t="s">
        <v>364</v>
      </c>
      <c r="B325" s="2" t="s">
        <v>1254</v>
      </c>
    </row>
    <row r="326" spans="1:2" ht="20.100000000000001" hidden="1" customHeight="1" x14ac:dyDescent="0.45">
      <c r="A326" s="2" t="s">
        <v>365</v>
      </c>
      <c r="B326" s="2" t="s">
        <v>39</v>
      </c>
    </row>
    <row r="327" spans="1:2" ht="20.100000000000001" hidden="1" customHeight="1" x14ac:dyDescent="0.45">
      <c r="A327" s="2" t="s">
        <v>365</v>
      </c>
      <c r="B327" s="2" t="s">
        <v>41</v>
      </c>
    </row>
    <row r="328" spans="1:2" ht="20.100000000000001" hidden="1" customHeight="1" x14ac:dyDescent="0.45">
      <c r="A328" s="2" t="s">
        <v>366</v>
      </c>
      <c r="B328" s="2" t="s">
        <v>41</v>
      </c>
    </row>
    <row r="329" spans="1:2" ht="20.100000000000001" hidden="1" customHeight="1" x14ac:dyDescent="0.45">
      <c r="A329" s="2" t="s">
        <v>367</v>
      </c>
      <c r="B329" s="2" t="s">
        <v>37</v>
      </c>
    </row>
    <row r="330" spans="1:2" ht="20.100000000000001" hidden="1" customHeight="1" x14ac:dyDescent="0.45">
      <c r="A330" s="2" t="s">
        <v>367</v>
      </c>
      <c r="B330" s="2" t="s">
        <v>39</v>
      </c>
    </row>
    <row r="331" spans="1:2" ht="20.100000000000001" hidden="1" customHeight="1" x14ac:dyDescent="0.45">
      <c r="A331" s="2" t="s">
        <v>368</v>
      </c>
      <c r="B331" s="2" t="s">
        <v>37</v>
      </c>
    </row>
    <row r="332" spans="1:2" ht="20.100000000000001" hidden="1" customHeight="1" x14ac:dyDescent="0.45">
      <c r="A332" s="2" t="s">
        <v>368</v>
      </c>
      <c r="B332" s="2" t="s">
        <v>39</v>
      </c>
    </row>
    <row r="333" spans="1:2" ht="20.100000000000001" hidden="1" customHeight="1" x14ac:dyDescent="0.45">
      <c r="A333" s="2" t="s">
        <v>368</v>
      </c>
      <c r="B333" s="2" t="s">
        <v>42</v>
      </c>
    </row>
    <row r="334" spans="1:2" ht="20.100000000000001" customHeight="1" x14ac:dyDescent="0.45">
      <c r="A334" s="2" t="s">
        <v>369</v>
      </c>
      <c r="B334" s="2" t="s">
        <v>51</v>
      </c>
    </row>
    <row r="335" spans="1:2" ht="20.100000000000001" customHeight="1" x14ac:dyDescent="0.45">
      <c r="A335" s="2" t="s">
        <v>370</v>
      </c>
      <c r="B335" s="2" t="s">
        <v>51</v>
      </c>
    </row>
    <row r="336" spans="1:2" ht="20.100000000000001" customHeight="1" x14ac:dyDescent="0.45">
      <c r="A336" s="2" t="s">
        <v>371</v>
      </c>
      <c r="B336" s="2" t="s">
        <v>51</v>
      </c>
    </row>
    <row r="337" spans="1:2" ht="20.100000000000001" customHeight="1" x14ac:dyDescent="0.45">
      <c r="A337" s="2" t="s">
        <v>372</v>
      </c>
      <c r="B337" s="2" t="s">
        <v>51</v>
      </c>
    </row>
    <row r="338" spans="1:2" ht="20.100000000000001" customHeight="1" x14ac:dyDescent="0.45">
      <c r="A338" s="2" t="s">
        <v>373</v>
      </c>
      <c r="B338" s="2" t="s">
        <v>51</v>
      </c>
    </row>
    <row r="339" spans="1:2" ht="20.100000000000001" customHeight="1" x14ac:dyDescent="0.45">
      <c r="A339" s="2" t="s">
        <v>374</v>
      </c>
      <c r="B339" s="2" t="s">
        <v>51</v>
      </c>
    </row>
    <row r="340" spans="1:2" ht="20.100000000000001" customHeight="1" x14ac:dyDescent="0.45">
      <c r="A340" s="2" t="s">
        <v>375</v>
      </c>
      <c r="B340" s="2" t="s">
        <v>51</v>
      </c>
    </row>
    <row r="341" spans="1:2" ht="20.100000000000001" customHeight="1" x14ac:dyDescent="0.45">
      <c r="A341" s="2" t="s">
        <v>376</v>
      </c>
      <c r="B341" s="2" t="s">
        <v>51</v>
      </c>
    </row>
    <row r="342" spans="1:2" ht="20.100000000000001" customHeight="1" x14ac:dyDescent="0.45">
      <c r="A342" s="2" t="s">
        <v>377</v>
      </c>
      <c r="B342" s="2" t="s">
        <v>51</v>
      </c>
    </row>
    <row r="343" spans="1:2" ht="20.100000000000001" customHeight="1" x14ac:dyDescent="0.45">
      <c r="A343" s="2" t="s">
        <v>378</v>
      </c>
      <c r="B343" s="2" t="s">
        <v>51</v>
      </c>
    </row>
    <row r="344" spans="1:2" ht="20.100000000000001" customHeight="1" x14ac:dyDescent="0.45">
      <c r="A344" s="2" t="s">
        <v>379</v>
      </c>
      <c r="B344" s="2" t="s">
        <v>51</v>
      </c>
    </row>
    <row r="345" spans="1:2" ht="20.100000000000001" customHeight="1" x14ac:dyDescent="0.45">
      <c r="A345" s="2" t="s">
        <v>380</v>
      </c>
      <c r="B345" s="2" t="s">
        <v>51</v>
      </c>
    </row>
    <row r="346" spans="1:2" ht="20.100000000000001" customHeight="1" x14ac:dyDescent="0.45">
      <c r="A346" s="2" t="s">
        <v>381</v>
      </c>
      <c r="B346" s="2" t="s">
        <v>51</v>
      </c>
    </row>
    <row r="347" spans="1:2" ht="20.100000000000001" customHeight="1" x14ac:dyDescent="0.45">
      <c r="A347" s="2" t="s">
        <v>382</v>
      </c>
      <c r="B347" s="2" t="s">
        <v>51</v>
      </c>
    </row>
    <row r="348" spans="1:2" ht="20.100000000000001" customHeight="1" x14ac:dyDescent="0.45">
      <c r="A348" s="2" t="s">
        <v>383</v>
      </c>
      <c r="B348" s="2" t="s">
        <v>51</v>
      </c>
    </row>
    <row r="349" spans="1:2" ht="20.100000000000001" customHeight="1" x14ac:dyDescent="0.45">
      <c r="A349" s="2" t="s">
        <v>384</v>
      </c>
      <c r="B349" s="2" t="s">
        <v>51</v>
      </c>
    </row>
    <row r="350" spans="1:2" ht="20.100000000000001" customHeight="1" x14ac:dyDescent="0.45">
      <c r="A350" s="2" t="s">
        <v>385</v>
      </c>
      <c r="B350" s="2" t="s">
        <v>51</v>
      </c>
    </row>
    <row r="351" spans="1:2" ht="20.100000000000001" hidden="1" customHeight="1" x14ac:dyDescent="0.45">
      <c r="A351" s="2" t="s">
        <v>386</v>
      </c>
      <c r="B351" s="2" t="s">
        <v>42</v>
      </c>
    </row>
    <row r="352" spans="1:2" ht="20.100000000000001" hidden="1" customHeight="1" x14ac:dyDescent="0.45">
      <c r="A352" s="2" t="s">
        <v>387</v>
      </c>
      <c r="B352" s="2" t="s">
        <v>42</v>
      </c>
    </row>
    <row r="353" spans="1:2" ht="20.100000000000001" hidden="1" customHeight="1" x14ac:dyDescent="0.45">
      <c r="A353" s="2" t="s">
        <v>388</v>
      </c>
      <c r="B353" s="2" t="s">
        <v>213</v>
      </c>
    </row>
    <row r="354" spans="1:2" ht="20.100000000000001" hidden="1" customHeight="1" x14ac:dyDescent="0.45">
      <c r="A354" s="2" t="s">
        <v>389</v>
      </c>
      <c r="B354" s="2" t="s">
        <v>213</v>
      </c>
    </row>
    <row r="355" spans="1:2" ht="20.100000000000001" hidden="1" customHeight="1" x14ac:dyDescent="0.45">
      <c r="A355" s="2" t="s">
        <v>390</v>
      </c>
      <c r="B355" s="2" t="s">
        <v>213</v>
      </c>
    </row>
    <row r="356" spans="1:2" ht="20.100000000000001" hidden="1" customHeight="1" x14ac:dyDescent="0.45">
      <c r="A356" s="2" t="s">
        <v>391</v>
      </c>
      <c r="B356" s="2" t="s">
        <v>39</v>
      </c>
    </row>
    <row r="357" spans="1:2" ht="20.100000000000001" hidden="1" customHeight="1" x14ac:dyDescent="0.45">
      <c r="A357" s="2" t="s">
        <v>392</v>
      </c>
      <c r="B357" s="2" t="s">
        <v>39</v>
      </c>
    </row>
    <row r="358" spans="1:2" ht="20.100000000000001" hidden="1" customHeight="1" x14ac:dyDescent="0.45">
      <c r="A358" s="2" t="s">
        <v>393</v>
      </c>
      <c r="B358" s="2" t="s">
        <v>39</v>
      </c>
    </row>
    <row r="359" spans="1:2" ht="20.100000000000001" hidden="1" customHeight="1" x14ac:dyDescent="0.45">
      <c r="A359" s="2" t="s">
        <v>394</v>
      </c>
      <c r="B359" s="2" t="s">
        <v>39</v>
      </c>
    </row>
    <row r="360" spans="1:2" ht="20.100000000000001" hidden="1" customHeight="1" x14ac:dyDescent="0.45">
      <c r="A360" s="2" t="s">
        <v>395</v>
      </c>
      <c r="B360" s="2" t="s">
        <v>39</v>
      </c>
    </row>
    <row r="361" spans="1:2" ht="20.100000000000001" hidden="1" customHeight="1" x14ac:dyDescent="0.45">
      <c r="A361" s="2" t="s">
        <v>396</v>
      </c>
      <c r="B361" s="2" t="s">
        <v>39</v>
      </c>
    </row>
    <row r="362" spans="1:2" ht="20.100000000000001" hidden="1" customHeight="1" x14ac:dyDescent="0.45">
      <c r="A362" s="2" t="s">
        <v>397</v>
      </c>
      <c r="B362" s="2" t="s">
        <v>39</v>
      </c>
    </row>
    <row r="363" spans="1:2" ht="20.100000000000001" hidden="1" customHeight="1" x14ac:dyDescent="0.45">
      <c r="A363" s="2" t="s">
        <v>398</v>
      </c>
      <c r="B363" s="2" t="s">
        <v>39</v>
      </c>
    </row>
    <row r="364" spans="1:2" ht="20.100000000000001" hidden="1" customHeight="1" x14ac:dyDescent="0.45">
      <c r="A364" s="2" t="s">
        <v>399</v>
      </c>
      <c r="B364" s="2" t="s">
        <v>39</v>
      </c>
    </row>
    <row r="365" spans="1:2" ht="20.100000000000001" hidden="1" customHeight="1" x14ac:dyDescent="0.45">
      <c r="A365" s="2" t="s">
        <v>400</v>
      </c>
      <c r="B365" s="2" t="s">
        <v>39</v>
      </c>
    </row>
    <row r="366" spans="1:2" ht="20.100000000000001" hidden="1" customHeight="1" x14ac:dyDescent="0.45">
      <c r="A366" s="2" t="s">
        <v>401</v>
      </c>
      <c r="B366" s="2" t="s">
        <v>39</v>
      </c>
    </row>
    <row r="367" spans="1:2" ht="20.100000000000001" hidden="1" customHeight="1" x14ac:dyDescent="0.45">
      <c r="A367" s="2" t="s">
        <v>402</v>
      </c>
      <c r="B367" s="2" t="s">
        <v>39</v>
      </c>
    </row>
    <row r="368" spans="1:2" ht="20.100000000000001" hidden="1" customHeight="1" x14ac:dyDescent="0.45">
      <c r="A368" s="2" t="s">
        <v>403</v>
      </c>
      <c r="B368" s="2" t="s">
        <v>39</v>
      </c>
    </row>
    <row r="369" spans="1:2" ht="20.100000000000001" hidden="1" customHeight="1" x14ac:dyDescent="0.45">
      <c r="A369" s="2" t="s">
        <v>404</v>
      </c>
      <c r="B369" s="2" t="s">
        <v>39</v>
      </c>
    </row>
    <row r="370" spans="1:2" ht="20.100000000000001" hidden="1" customHeight="1" x14ac:dyDescent="0.45">
      <c r="A370" s="2" t="s">
        <v>404</v>
      </c>
      <c r="B370" s="2" t="s">
        <v>37</v>
      </c>
    </row>
    <row r="371" spans="1:2" ht="20.100000000000001" hidden="1" customHeight="1" x14ac:dyDescent="0.45">
      <c r="A371" s="2" t="s">
        <v>405</v>
      </c>
      <c r="B371" s="2" t="s">
        <v>39</v>
      </c>
    </row>
    <row r="372" spans="1:2" ht="20.100000000000001" hidden="1" customHeight="1" x14ac:dyDescent="0.45">
      <c r="A372" s="2" t="s">
        <v>405</v>
      </c>
      <c r="B372" s="2" t="s">
        <v>37</v>
      </c>
    </row>
    <row r="373" spans="1:2" ht="20.100000000000001" hidden="1" customHeight="1" x14ac:dyDescent="0.45">
      <c r="A373" s="2" t="s">
        <v>406</v>
      </c>
      <c r="B373" s="2" t="s">
        <v>1254</v>
      </c>
    </row>
    <row r="374" spans="1:2" ht="20.100000000000001" hidden="1" customHeight="1" x14ac:dyDescent="0.45">
      <c r="A374" s="2" t="s">
        <v>407</v>
      </c>
      <c r="B374" s="2" t="s">
        <v>37</v>
      </c>
    </row>
    <row r="375" spans="1:2" ht="20.100000000000001" hidden="1" customHeight="1" x14ac:dyDescent="0.45">
      <c r="A375" s="2" t="s">
        <v>407</v>
      </c>
      <c r="B375" s="2" t="s">
        <v>39</v>
      </c>
    </row>
    <row r="376" spans="1:2" ht="20.100000000000001" customHeight="1" x14ac:dyDescent="0.45">
      <c r="A376" s="2" t="s">
        <v>408</v>
      </c>
      <c r="B376" s="2" t="s">
        <v>51</v>
      </c>
    </row>
    <row r="377" spans="1:2" ht="20.100000000000001" hidden="1" customHeight="1" x14ac:dyDescent="0.45">
      <c r="A377" s="2" t="s">
        <v>409</v>
      </c>
      <c r="B377" s="2" t="s">
        <v>1254</v>
      </c>
    </row>
    <row r="378" spans="1:2" ht="20.100000000000001" hidden="1" customHeight="1" x14ac:dyDescent="0.45">
      <c r="A378" s="2" t="s">
        <v>410</v>
      </c>
      <c r="B378" s="2" t="s">
        <v>48</v>
      </c>
    </row>
    <row r="379" spans="1:2" ht="20.100000000000001" hidden="1" customHeight="1" x14ac:dyDescent="0.45">
      <c r="A379" s="2" t="s">
        <v>411</v>
      </c>
      <c r="B379" s="2" t="s">
        <v>48</v>
      </c>
    </row>
    <row r="380" spans="1:2" ht="20.100000000000001" hidden="1" customHeight="1" x14ac:dyDescent="0.45">
      <c r="A380" s="2" t="s">
        <v>412</v>
      </c>
      <c r="B380" s="2" t="s">
        <v>48</v>
      </c>
    </row>
    <row r="381" spans="1:2" ht="20.100000000000001" hidden="1" customHeight="1" x14ac:dyDescent="0.45">
      <c r="A381" s="2" t="s">
        <v>413</v>
      </c>
      <c r="B381" s="2" t="s">
        <v>48</v>
      </c>
    </row>
    <row r="382" spans="1:2" ht="20.100000000000001" hidden="1" customHeight="1" x14ac:dyDescent="0.45">
      <c r="A382" s="2" t="s">
        <v>414</v>
      </c>
      <c r="B382" s="2" t="s">
        <v>48</v>
      </c>
    </row>
    <row r="383" spans="1:2" ht="20.100000000000001" hidden="1" customHeight="1" x14ac:dyDescent="0.45">
      <c r="A383" s="2" t="s">
        <v>415</v>
      </c>
      <c r="B383" s="2" t="s">
        <v>48</v>
      </c>
    </row>
    <row r="384" spans="1:2" ht="20.100000000000001" hidden="1" customHeight="1" x14ac:dyDescent="0.45">
      <c r="A384" s="2" t="s">
        <v>416</v>
      </c>
      <c r="B384" s="2" t="s">
        <v>48</v>
      </c>
    </row>
    <row r="385" spans="1:2" ht="20.100000000000001" hidden="1" customHeight="1" x14ac:dyDescent="0.45">
      <c r="A385" s="2" t="s">
        <v>417</v>
      </c>
      <c r="B385" s="2" t="s">
        <v>48</v>
      </c>
    </row>
    <row r="386" spans="1:2" ht="20.100000000000001" hidden="1" customHeight="1" x14ac:dyDescent="0.45">
      <c r="A386" s="2" t="s">
        <v>418</v>
      </c>
      <c r="B386" s="2" t="s">
        <v>37</v>
      </c>
    </row>
    <row r="387" spans="1:2" ht="20.100000000000001" hidden="1" customHeight="1" x14ac:dyDescent="0.45">
      <c r="A387" s="2" t="s">
        <v>418</v>
      </c>
      <c r="B387" s="2" t="s">
        <v>42</v>
      </c>
    </row>
    <row r="388" spans="1:2" ht="20.100000000000001" hidden="1" customHeight="1" x14ac:dyDescent="0.45">
      <c r="A388" s="2" t="s">
        <v>419</v>
      </c>
      <c r="B388" s="2" t="s">
        <v>37</v>
      </c>
    </row>
    <row r="389" spans="1:2" ht="20.100000000000001" hidden="1" customHeight="1" x14ac:dyDescent="0.45">
      <c r="A389" s="2" t="s">
        <v>419</v>
      </c>
      <c r="B389" s="2" t="s">
        <v>42</v>
      </c>
    </row>
    <row r="390" spans="1:2" ht="20.100000000000001" hidden="1" customHeight="1" x14ac:dyDescent="0.45">
      <c r="A390" s="2" t="s">
        <v>420</v>
      </c>
      <c r="B390" s="2" t="s">
        <v>37</v>
      </c>
    </row>
    <row r="391" spans="1:2" ht="20.100000000000001" hidden="1" customHeight="1" x14ac:dyDescent="0.45">
      <c r="A391" s="2" t="s">
        <v>420</v>
      </c>
      <c r="B391" s="2" t="s">
        <v>42</v>
      </c>
    </row>
    <row r="392" spans="1:2" ht="20.100000000000001" hidden="1" customHeight="1" x14ac:dyDescent="0.45">
      <c r="A392" s="2" t="s">
        <v>421</v>
      </c>
      <c r="B392" s="2" t="s">
        <v>37</v>
      </c>
    </row>
    <row r="393" spans="1:2" ht="20.100000000000001" hidden="1" customHeight="1" x14ac:dyDescent="0.45">
      <c r="A393" s="2" t="s">
        <v>421</v>
      </c>
      <c r="B393" s="2" t="s">
        <v>42</v>
      </c>
    </row>
    <row r="394" spans="1:2" ht="20.100000000000001" hidden="1" customHeight="1" x14ac:dyDescent="0.45">
      <c r="A394" s="2" t="s">
        <v>422</v>
      </c>
      <c r="B394" s="2" t="s">
        <v>37</v>
      </c>
    </row>
    <row r="395" spans="1:2" ht="20.100000000000001" hidden="1" customHeight="1" x14ac:dyDescent="0.45">
      <c r="A395" s="2" t="s">
        <v>422</v>
      </c>
      <c r="B395" s="2" t="s">
        <v>42</v>
      </c>
    </row>
    <row r="396" spans="1:2" ht="20.100000000000001" hidden="1" customHeight="1" x14ac:dyDescent="0.45">
      <c r="A396" s="2" t="s">
        <v>423</v>
      </c>
      <c r="B396" s="2" t="s">
        <v>37</v>
      </c>
    </row>
    <row r="397" spans="1:2" ht="20.100000000000001" hidden="1" customHeight="1" x14ac:dyDescent="0.45">
      <c r="A397" s="2" t="s">
        <v>423</v>
      </c>
      <c r="B397" s="2" t="s">
        <v>41</v>
      </c>
    </row>
    <row r="398" spans="1:2" ht="20.100000000000001" hidden="1" customHeight="1" x14ac:dyDescent="0.45">
      <c r="A398" s="2" t="s">
        <v>424</v>
      </c>
      <c r="B398" s="2" t="s">
        <v>39</v>
      </c>
    </row>
    <row r="399" spans="1:2" ht="20.100000000000001" hidden="1" customHeight="1" x14ac:dyDescent="0.45">
      <c r="A399" s="2" t="s">
        <v>425</v>
      </c>
      <c r="B399" s="2" t="s">
        <v>39</v>
      </c>
    </row>
    <row r="400" spans="1:2" ht="20.100000000000001" hidden="1" customHeight="1" x14ac:dyDescent="0.45">
      <c r="A400" s="2" t="s">
        <v>426</v>
      </c>
      <c r="B400" s="2" t="s">
        <v>39</v>
      </c>
    </row>
    <row r="401" spans="1:2" ht="20.100000000000001" hidden="1" customHeight="1" x14ac:dyDescent="0.45">
      <c r="A401" s="2" t="s">
        <v>427</v>
      </c>
      <c r="B401" s="2" t="s">
        <v>39</v>
      </c>
    </row>
    <row r="402" spans="1:2" ht="20.100000000000001" hidden="1" customHeight="1" x14ac:dyDescent="0.45">
      <c r="A402" s="2" t="s">
        <v>428</v>
      </c>
      <c r="B402" s="2" t="s">
        <v>39</v>
      </c>
    </row>
    <row r="403" spans="1:2" ht="20.100000000000001" hidden="1" customHeight="1" x14ac:dyDescent="0.45">
      <c r="A403" s="2" t="s">
        <v>429</v>
      </c>
      <c r="B403" s="2" t="s">
        <v>39</v>
      </c>
    </row>
    <row r="404" spans="1:2" ht="20.100000000000001" hidden="1" customHeight="1" x14ac:dyDescent="0.45">
      <c r="A404" s="2" t="s">
        <v>430</v>
      </c>
      <c r="B404" s="2" t="s">
        <v>39</v>
      </c>
    </row>
    <row r="405" spans="1:2" ht="20.100000000000001" hidden="1" customHeight="1" x14ac:dyDescent="0.45">
      <c r="A405" s="2" t="s">
        <v>431</v>
      </c>
      <c r="B405" s="2" t="s">
        <v>39</v>
      </c>
    </row>
    <row r="406" spans="1:2" ht="20.100000000000001" hidden="1" customHeight="1" x14ac:dyDescent="0.45">
      <c r="A406" s="2" t="s">
        <v>432</v>
      </c>
      <c r="B406" s="2" t="s">
        <v>39</v>
      </c>
    </row>
    <row r="407" spans="1:2" ht="20.100000000000001" hidden="1" customHeight="1" x14ac:dyDescent="0.45">
      <c r="A407" s="2" t="s">
        <v>433</v>
      </c>
      <c r="B407" s="2" t="s">
        <v>39</v>
      </c>
    </row>
    <row r="408" spans="1:2" ht="20.100000000000001" hidden="1" customHeight="1" x14ac:dyDescent="0.45">
      <c r="A408" s="2" t="s">
        <v>434</v>
      </c>
      <c r="B408" s="2" t="s">
        <v>39</v>
      </c>
    </row>
    <row r="409" spans="1:2" ht="20.100000000000001" hidden="1" customHeight="1" x14ac:dyDescent="0.45">
      <c r="A409" s="2" t="s">
        <v>435</v>
      </c>
      <c r="B409" s="2" t="s">
        <v>39</v>
      </c>
    </row>
    <row r="410" spans="1:2" ht="20.100000000000001" hidden="1" customHeight="1" x14ac:dyDescent="0.45">
      <c r="A410" s="2" t="s">
        <v>436</v>
      </c>
      <c r="B410" s="2" t="s">
        <v>39</v>
      </c>
    </row>
    <row r="411" spans="1:2" ht="20.100000000000001" hidden="1" customHeight="1" x14ac:dyDescent="0.45">
      <c r="A411" s="2" t="s">
        <v>436</v>
      </c>
      <c r="B411" s="2" t="s">
        <v>37</v>
      </c>
    </row>
    <row r="412" spans="1:2" ht="20.100000000000001" hidden="1" customHeight="1" x14ac:dyDescent="0.45">
      <c r="A412" s="2" t="s">
        <v>437</v>
      </c>
      <c r="B412" s="2" t="s">
        <v>42</v>
      </c>
    </row>
    <row r="413" spans="1:2" ht="20.100000000000001" hidden="1" customHeight="1" x14ac:dyDescent="0.45">
      <c r="A413" s="2" t="s">
        <v>438</v>
      </c>
      <c r="B413" s="2" t="s">
        <v>42</v>
      </c>
    </row>
    <row r="414" spans="1:2" ht="20.100000000000001" hidden="1" customHeight="1" x14ac:dyDescent="0.45">
      <c r="A414" s="2" t="s">
        <v>439</v>
      </c>
      <c r="B414" s="2" t="s">
        <v>42</v>
      </c>
    </row>
    <row r="415" spans="1:2" ht="20.100000000000001" hidden="1" customHeight="1" x14ac:dyDescent="0.45">
      <c r="A415" s="2" t="s">
        <v>439</v>
      </c>
      <c r="B415" s="2" t="s">
        <v>37</v>
      </c>
    </row>
    <row r="416" spans="1:2" ht="20.100000000000001" hidden="1" customHeight="1" x14ac:dyDescent="0.45">
      <c r="A416" s="2" t="s">
        <v>440</v>
      </c>
      <c r="B416" s="2" t="s">
        <v>1254</v>
      </c>
    </row>
    <row r="417" spans="1:2" ht="20.100000000000001" hidden="1" customHeight="1" x14ac:dyDescent="0.45">
      <c r="A417" s="2" t="s">
        <v>441</v>
      </c>
      <c r="B417" s="2" t="s">
        <v>41</v>
      </c>
    </row>
    <row r="418" spans="1:2" ht="20.100000000000001" hidden="1" customHeight="1" x14ac:dyDescent="0.45">
      <c r="A418" s="2" t="s">
        <v>442</v>
      </c>
      <c r="B418" s="2" t="s">
        <v>41</v>
      </c>
    </row>
    <row r="419" spans="1:2" ht="20.100000000000001" hidden="1" customHeight="1" x14ac:dyDescent="0.45">
      <c r="A419" s="2" t="s">
        <v>443</v>
      </c>
      <c r="B419" s="2" t="s">
        <v>1254</v>
      </c>
    </row>
    <row r="420" spans="1:2" ht="20.100000000000001" hidden="1" customHeight="1" x14ac:dyDescent="0.45">
      <c r="A420" s="2" t="s">
        <v>444</v>
      </c>
      <c r="B420" s="2" t="s">
        <v>42</v>
      </c>
    </row>
    <row r="421" spans="1:2" ht="20.100000000000001" customHeight="1" x14ac:dyDescent="0.45">
      <c r="A421" s="2" t="s">
        <v>445</v>
      </c>
      <c r="B421" s="2" t="s">
        <v>51</v>
      </c>
    </row>
    <row r="422" spans="1:2" ht="20.100000000000001" customHeight="1" x14ac:dyDescent="0.45">
      <c r="A422" s="2" t="s">
        <v>446</v>
      </c>
      <c r="B422" s="2" t="s">
        <v>51</v>
      </c>
    </row>
    <row r="423" spans="1:2" ht="20.100000000000001" hidden="1" customHeight="1" x14ac:dyDescent="0.45">
      <c r="A423" s="2" t="s">
        <v>447</v>
      </c>
      <c r="B423" s="2" t="s">
        <v>39</v>
      </c>
    </row>
    <row r="424" spans="1:2" ht="20.100000000000001" hidden="1" customHeight="1" x14ac:dyDescent="0.45">
      <c r="A424" s="2" t="s">
        <v>448</v>
      </c>
      <c r="B424" s="2" t="s">
        <v>39</v>
      </c>
    </row>
    <row r="425" spans="1:2" ht="20.100000000000001" hidden="1" customHeight="1" x14ac:dyDescent="0.45">
      <c r="A425" s="2" t="s">
        <v>449</v>
      </c>
      <c r="B425" s="2" t="s">
        <v>39</v>
      </c>
    </row>
    <row r="426" spans="1:2" ht="20.100000000000001" hidden="1" customHeight="1" x14ac:dyDescent="0.45">
      <c r="A426" s="2" t="s">
        <v>450</v>
      </c>
      <c r="B426" s="2" t="s">
        <v>39</v>
      </c>
    </row>
    <row r="427" spans="1:2" ht="20.100000000000001" hidden="1" customHeight="1" x14ac:dyDescent="0.45">
      <c r="A427" s="2" t="s">
        <v>451</v>
      </c>
      <c r="B427" s="2" t="s">
        <v>39</v>
      </c>
    </row>
    <row r="428" spans="1:2" ht="20.100000000000001" hidden="1" customHeight="1" x14ac:dyDescent="0.45">
      <c r="A428" s="2" t="s">
        <v>452</v>
      </c>
      <c r="B428" s="2" t="s">
        <v>39</v>
      </c>
    </row>
    <row r="429" spans="1:2" ht="20.100000000000001" hidden="1" customHeight="1" x14ac:dyDescent="0.45">
      <c r="A429" s="2" t="s">
        <v>453</v>
      </c>
      <c r="B429" s="2" t="s">
        <v>39</v>
      </c>
    </row>
    <row r="430" spans="1:2" ht="20.100000000000001" hidden="1" customHeight="1" x14ac:dyDescent="0.45">
      <c r="A430" s="2" t="s">
        <v>454</v>
      </c>
      <c r="B430" s="2" t="s">
        <v>39</v>
      </c>
    </row>
    <row r="431" spans="1:2" ht="20.100000000000001" hidden="1" customHeight="1" x14ac:dyDescent="0.45">
      <c r="A431" s="2" t="s">
        <v>455</v>
      </c>
      <c r="B431" s="2" t="s">
        <v>39</v>
      </c>
    </row>
    <row r="432" spans="1:2" ht="20.100000000000001" hidden="1" customHeight="1" x14ac:dyDescent="0.45">
      <c r="A432" s="2" t="s">
        <v>456</v>
      </c>
      <c r="B432" s="2" t="s">
        <v>37</v>
      </c>
    </row>
    <row r="433" spans="1:2" ht="20.100000000000001" hidden="1" customHeight="1" x14ac:dyDescent="0.45">
      <c r="A433" s="2" t="s">
        <v>456</v>
      </c>
      <c r="B433" s="2" t="s">
        <v>42</v>
      </c>
    </row>
    <row r="434" spans="1:2" ht="20.100000000000001" hidden="1" customHeight="1" x14ac:dyDescent="0.45">
      <c r="A434" s="2" t="s">
        <v>457</v>
      </c>
      <c r="B434" s="2" t="s">
        <v>37</v>
      </c>
    </row>
    <row r="435" spans="1:2" ht="20.100000000000001" hidden="1" customHeight="1" x14ac:dyDescent="0.45">
      <c r="A435" s="2" t="s">
        <v>458</v>
      </c>
      <c r="B435" s="2" t="s">
        <v>37</v>
      </c>
    </row>
    <row r="436" spans="1:2" ht="20.100000000000001" hidden="1" customHeight="1" x14ac:dyDescent="0.45">
      <c r="A436" s="2" t="s">
        <v>459</v>
      </c>
      <c r="B436" s="2" t="s">
        <v>48</v>
      </c>
    </row>
    <row r="437" spans="1:2" ht="20.100000000000001" hidden="1" customHeight="1" x14ac:dyDescent="0.45">
      <c r="A437" s="2" t="s">
        <v>460</v>
      </c>
      <c r="B437" s="2" t="s">
        <v>48</v>
      </c>
    </row>
    <row r="438" spans="1:2" ht="20.100000000000001" hidden="1" customHeight="1" x14ac:dyDescent="0.45">
      <c r="A438" s="2" t="s">
        <v>461</v>
      </c>
      <c r="B438" s="2" t="s">
        <v>48</v>
      </c>
    </row>
    <row r="439" spans="1:2" ht="20.100000000000001" hidden="1" customHeight="1" x14ac:dyDescent="0.45">
      <c r="A439" s="2" t="s">
        <v>462</v>
      </c>
      <c r="B439" s="2" t="s">
        <v>48</v>
      </c>
    </row>
    <row r="440" spans="1:2" ht="20.100000000000001" hidden="1" customHeight="1" x14ac:dyDescent="0.45">
      <c r="A440" s="2" t="s">
        <v>463</v>
      </c>
      <c r="B440" s="2" t="s">
        <v>48</v>
      </c>
    </row>
    <row r="441" spans="1:2" ht="20.100000000000001" hidden="1" customHeight="1" x14ac:dyDescent="0.45">
      <c r="A441" s="2" t="s">
        <v>464</v>
      </c>
      <c r="B441" s="2" t="s">
        <v>48</v>
      </c>
    </row>
    <row r="442" spans="1:2" ht="20.100000000000001" hidden="1" customHeight="1" x14ac:dyDescent="0.45">
      <c r="A442" s="2" t="s">
        <v>465</v>
      </c>
      <c r="B442" s="2" t="s">
        <v>1254</v>
      </c>
    </row>
    <row r="443" spans="1:2" ht="20.100000000000001" hidden="1" customHeight="1" x14ac:dyDescent="0.45">
      <c r="A443" s="2" t="s">
        <v>466</v>
      </c>
      <c r="B443" s="2" t="s">
        <v>1254</v>
      </c>
    </row>
    <row r="444" spans="1:2" ht="20.100000000000001" hidden="1" customHeight="1" x14ac:dyDescent="0.45">
      <c r="A444" s="2" t="s">
        <v>467</v>
      </c>
      <c r="B444" s="2" t="s">
        <v>48</v>
      </c>
    </row>
    <row r="445" spans="1:2" ht="20.100000000000001" hidden="1" customHeight="1" x14ac:dyDescent="0.45">
      <c r="A445" s="2" t="s">
        <v>468</v>
      </c>
      <c r="B445" s="2" t="s">
        <v>48</v>
      </c>
    </row>
  </sheetData>
  <autoFilter ref="A1:B445" xr:uid="{00000000-0009-0000-0000-000005000000}">
    <filterColumn colId="1">
      <filters>
        <filter val="Honeo"/>
        <filter val="Panaderia Y Reposteria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5"/>
  <sheetViews>
    <sheetView showGridLines="0" zoomScale="90" workbookViewId="0">
      <pane ySplit="1" topLeftCell="A2" activePane="bottomLeft" state="frozen"/>
      <selection pane="bottomLeft" activeCell="C22" sqref="C22"/>
    </sheetView>
  </sheetViews>
  <sheetFormatPr defaultColWidth="9.1328125" defaultRowHeight="14.25" x14ac:dyDescent="0.45"/>
  <cols>
    <col min="1" max="1" width="27" customWidth="1"/>
    <col min="2" max="2" width="18" customWidth="1"/>
    <col min="3" max="3" width="26" customWidth="1"/>
  </cols>
  <sheetData>
    <row r="1" spans="1:3" ht="30" customHeight="1" x14ac:dyDescent="0.45">
      <c r="A1" s="1" t="s">
        <v>1</v>
      </c>
      <c r="B1" s="1" t="s">
        <v>34</v>
      </c>
      <c r="C1" s="1" t="s">
        <v>35</v>
      </c>
    </row>
    <row r="2" spans="1:3" ht="20.100000000000001" customHeight="1" x14ac:dyDescent="0.45">
      <c r="A2" s="2" t="s">
        <v>8</v>
      </c>
      <c r="B2" s="2" t="s">
        <v>36</v>
      </c>
      <c r="C2" s="2" t="s">
        <v>37</v>
      </c>
    </row>
    <row r="3" spans="1:3" ht="20.100000000000001" customHeight="1" x14ac:dyDescent="0.45">
      <c r="A3" s="2" t="s">
        <v>8</v>
      </c>
      <c r="B3" s="2" t="s">
        <v>38</v>
      </c>
      <c r="C3" s="2" t="s">
        <v>39</v>
      </c>
    </row>
    <row r="4" spans="1:3" ht="20.100000000000001" customHeight="1" x14ac:dyDescent="0.45">
      <c r="A4" s="2" t="s">
        <v>8</v>
      </c>
      <c r="B4" s="2" t="s">
        <v>38</v>
      </c>
      <c r="C4" s="2" t="s">
        <v>40</v>
      </c>
    </row>
    <row r="5" spans="1:3" ht="20.100000000000001" customHeight="1" x14ac:dyDescent="0.45">
      <c r="A5" s="2" t="s">
        <v>8</v>
      </c>
      <c r="B5" s="2" t="s">
        <v>36</v>
      </c>
      <c r="C5" s="2" t="s">
        <v>41</v>
      </c>
    </row>
    <row r="6" spans="1:3" ht="20.100000000000001" customHeight="1" x14ac:dyDescent="0.45">
      <c r="A6" s="2" t="s">
        <v>8</v>
      </c>
      <c r="B6" s="2" t="s">
        <v>36</v>
      </c>
      <c r="C6" s="2" t="s">
        <v>42</v>
      </c>
    </row>
    <row r="7" spans="1:3" ht="20.100000000000001" customHeight="1" x14ac:dyDescent="0.45">
      <c r="A7" s="2" t="s">
        <v>8</v>
      </c>
      <c r="B7" s="2" t="s">
        <v>36</v>
      </c>
      <c r="C7" s="2" t="s">
        <v>1251</v>
      </c>
    </row>
    <row r="8" spans="1:3" ht="20.100000000000001" customHeight="1" x14ac:dyDescent="0.45">
      <c r="A8" s="2" t="s">
        <v>8</v>
      </c>
      <c r="B8" s="2" t="s">
        <v>43</v>
      </c>
      <c r="C8" s="2" t="s">
        <v>44</v>
      </c>
    </row>
    <row r="9" spans="1:3" ht="20.100000000000001" customHeight="1" x14ac:dyDescent="0.45">
      <c r="A9" s="2" t="s">
        <v>8</v>
      </c>
      <c r="B9" s="2" t="s">
        <v>43</v>
      </c>
      <c r="C9" s="2" t="s">
        <v>45</v>
      </c>
    </row>
    <row r="10" spans="1:3" ht="20.100000000000001" customHeight="1" x14ac:dyDescent="0.45">
      <c r="A10" s="2" t="s">
        <v>8</v>
      </c>
      <c r="B10" s="2" t="s">
        <v>46</v>
      </c>
      <c r="C10" s="2" t="s">
        <v>47</v>
      </c>
    </row>
    <row r="11" spans="1:3" ht="20.100000000000001" customHeight="1" x14ac:dyDescent="0.45">
      <c r="A11" s="2" t="s">
        <v>8</v>
      </c>
      <c r="B11" s="2" t="s">
        <v>46</v>
      </c>
      <c r="C11" s="2" t="s">
        <v>48</v>
      </c>
    </row>
    <row r="12" spans="1:3" ht="20.100000000000001" customHeight="1" x14ac:dyDescent="0.45">
      <c r="A12" s="2" t="s">
        <v>8</v>
      </c>
      <c r="B12" s="2" t="s">
        <v>49</v>
      </c>
      <c r="C12" s="2" t="s">
        <v>50</v>
      </c>
    </row>
    <row r="13" spans="1:3" ht="20.100000000000001" customHeight="1" x14ac:dyDescent="0.45">
      <c r="A13" s="2" t="s">
        <v>8</v>
      </c>
      <c r="B13" s="2" t="s">
        <v>49</v>
      </c>
      <c r="C13" s="2" t="s">
        <v>1254</v>
      </c>
    </row>
    <row r="14" spans="1:3" ht="20.100000000000001" customHeight="1" x14ac:dyDescent="0.45">
      <c r="A14" s="2" t="s">
        <v>8</v>
      </c>
      <c r="B14" s="2" t="s">
        <v>49</v>
      </c>
      <c r="C14" s="2" t="s">
        <v>51</v>
      </c>
    </row>
    <row r="15" spans="1:3" ht="20.100000000000001" customHeight="1" x14ac:dyDescent="0.45">
      <c r="A15" s="2" t="s">
        <v>8</v>
      </c>
      <c r="B15" s="2" t="s">
        <v>52</v>
      </c>
      <c r="C15" s="2" t="s">
        <v>53</v>
      </c>
    </row>
    <row r="16" spans="1:3" ht="20.100000000000001" customHeight="1" x14ac:dyDescent="0.45">
      <c r="A16" s="2" t="s">
        <v>8</v>
      </c>
      <c r="B16" s="2" t="s">
        <v>52</v>
      </c>
      <c r="C16" s="2" t="s">
        <v>54</v>
      </c>
    </row>
    <row r="17" spans="1:3" ht="20.100000000000001" customHeight="1" x14ac:dyDescent="0.45">
      <c r="A17" s="2" t="s">
        <v>8</v>
      </c>
      <c r="B17" s="2" t="s">
        <v>52</v>
      </c>
      <c r="C17" s="2" t="s">
        <v>1253</v>
      </c>
    </row>
    <row r="18" spans="1:3" ht="20.100000000000001" customHeight="1" x14ac:dyDescent="0.45">
      <c r="A18" s="2" t="s">
        <v>8</v>
      </c>
      <c r="B18" s="2" t="s">
        <v>52</v>
      </c>
      <c r="C18" s="2" t="s">
        <v>55</v>
      </c>
    </row>
    <row r="19" spans="1:3" ht="20.100000000000001" customHeight="1" x14ac:dyDescent="0.45">
      <c r="A19" s="2" t="s">
        <v>8</v>
      </c>
      <c r="B19" s="2" t="s">
        <v>52</v>
      </c>
      <c r="C19" s="2" t="s">
        <v>1252</v>
      </c>
    </row>
    <row r="20" spans="1:3" ht="20.100000000000001" customHeight="1" x14ac:dyDescent="0.45">
      <c r="A20" s="2" t="s">
        <v>8</v>
      </c>
      <c r="B20" s="2" t="s">
        <v>52</v>
      </c>
      <c r="C20" s="2" t="s">
        <v>56</v>
      </c>
    </row>
    <row r="21" spans="1:3" ht="20.100000000000001" customHeight="1" x14ac:dyDescent="0.45">
      <c r="A21" s="2" t="s">
        <v>14</v>
      </c>
      <c r="B21" s="2" t="s">
        <v>36</v>
      </c>
      <c r="C21" s="2" t="s">
        <v>37</v>
      </c>
    </row>
    <row r="22" spans="1:3" ht="20.100000000000001" customHeight="1" x14ac:dyDescent="0.45">
      <c r="A22" s="2" t="s">
        <v>14</v>
      </c>
      <c r="B22" s="2" t="s">
        <v>38</v>
      </c>
      <c r="C22" s="2" t="s">
        <v>39</v>
      </c>
    </row>
    <row r="23" spans="1:3" ht="20.100000000000001" customHeight="1" x14ac:dyDescent="0.45">
      <c r="A23" s="2" t="s">
        <v>14</v>
      </c>
      <c r="B23" s="2" t="s">
        <v>38</v>
      </c>
      <c r="C23" s="2" t="s">
        <v>40</v>
      </c>
    </row>
    <row r="24" spans="1:3" ht="20.100000000000001" customHeight="1" x14ac:dyDescent="0.45">
      <c r="A24" s="2" t="s">
        <v>14</v>
      </c>
      <c r="B24" s="2" t="s">
        <v>36</v>
      </c>
      <c r="C24" s="2" t="s">
        <v>41</v>
      </c>
    </row>
    <row r="25" spans="1:3" ht="20.100000000000001" customHeight="1" x14ac:dyDescent="0.45">
      <c r="A25" s="2" t="s">
        <v>14</v>
      </c>
      <c r="B25" s="2" t="s">
        <v>36</v>
      </c>
      <c r="C25" s="2" t="s">
        <v>42</v>
      </c>
    </row>
    <row r="26" spans="1:3" ht="20.100000000000001" customHeight="1" x14ac:dyDescent="0.45">
      <c r="A26" s="2" t="s">
        <v>14</v>
      </c>
      <c r="B26" s="2" t="s">
        <v>36</v>
      </c>
      <c r="C26" s="2" t="s">
        <v>1251</v>
      </c>
    </row>
    <row r="27" spans="1:3" ht="20.100000000000001" customHeight="1" x14ac:dyDescent="0.45">
      <c r="A27" s="2" t="s">
        <v>14</v>
      </c>
      <c r="B27" s="2" t="s">
        <v>43</v>
      </c>
      <c r="C27" s="2" t="s">
        <v>44</v>
      </c>
    </row>
    <row r="28" spans="1:3" ht="20.100000000000001" customHeight="1" x14ac:dyDescent="0.45">
      <c r="A28" s="2" t="s">
        <v>14</v>
      </c>
      <c r="B28" s="2" t="s">
        <v>43</v>
      </c>
      <c r="C28" s="2" t="s">
        <v>45</v>
      </c>
    </row>
    <row r="29" spans="1:3" ht="20.100000000000001" customHeight="1" x14ac:dyDescent="0.45">
      <c r="A29" s="2" t="s">
        <v>14</v>
      </c>
      <c r="B29" s="2" t="s">
        <v>46</v>
      </c>
      <c r="C29" s="2" t="s">
        <v>47</v>
      </c>
    </row>
    <row r="30" spans="1:3" ht="20.100000000000001" customHeight="1" x14ac:dyDescent="0.45">
      <c r="A30" s="2" t="s">
        <v>14</v>
      </c>
      <c r="B30" s="2" t="s">
        <v>46</v>
      </c>
      <c r="C30" s="2" t="s">
        <v>48</v>
      </c>
    </row>
    <row r="31" spans="1:3" ht="20.100000000000001" customHeight="1" x14ac:dyDescent="0.45">
      <c r="A31" s="2" t="s">
        <v>14</v>
      </c>
      <c r="B31" s="2" t="s">
        <v>49</v>
      </c>
      <c r="C31" s="2" t="s">
        <v>50</v>
      </c>
    </row>
    <row r="32" spans="1:3" ht="20.100000000000001" customHeight="1" x14ac:dyDescent="0.45">
      <c r="A32" s="2" t="s">
        <v>14</v>
      </c>
      <c r="B32" s="2" t="s">
        <v>49</v>
      </c>
      <c r="C32" s="2" t="s">
        <v>1254</v>
      </c>
    </row>
    <row r="33" spans="1:3" ht="20.100000000000001" customHeight="1" x14ac:dyDescent="0.45">
      <c r="A33" s="2" t="s">
        <v>14</v>
      </c>
      <c r="B33" s="2" t="s">
        <v>49</v>
      </c>
      <c r="C33" s="2" t="s">
        <v>51</v>
      </c>
    </row>
    <row r="34" spans="1:3" ht="20.100000000000001" customHeight="1" x14ac:dyDescent="0.45">
      <c r="A34" s="2" t="s">
        <v>14</v>
      </c>
      <c r="B34" s="2" t="s">
        <v>52</v>
      </c>
      <c r="C34" s="2" t="s">
        <v>53</v>
      </c>
    </row>
    <row r="35" spans="1:3" ht="20.100000000000001" customHeight="1" x14ac:dyDescent="0.45">
      <c r="A35" s="2" t="s">
        <v>14</v>
      </c>
      <c r="B35" s="2" t="s">
        <v>52</v>
      </c>
      <c r="C35" s="2" t="s">
        <v>1252</v>
      </c>
    </row>
    <row r="36" spans="1:3" ht="20.100000000000001" customHeight="1" x14ac:dyDescent="0.45">
      <c r="A36" s="2" t="s">
        <v>14</v>
      </c>
      <c r="B36" s="2" t="s">
        <v>52</v>
      </c>
      <c r="C36" s="2" t="s">
        <v>54</v>
      </c>
    </row>
    <row r="37" spans="1:3" ht="20.100000000000001" customHeight="1" x14ac:dyDescent="0.45">
      <c r="A37" s="2" t="s">
        <v>14</v>
      </c>
      <c r="B37" s="2" t="s">
        <v>52</v>
      </c>
      <c r="C37" s="2" t="s">
        <v>1253</v>
      </c>
    </row>
    <row r="38" spans="1:3" ht="20.100000000000001" customHeight="1" x14ac:dyDescent="0.45">
      <c r="A38" s="2" t="s">
        <v>14</v>
      </c>
      <c r="B38" s="2" t="s">
        <v>52</v>
      </c>
      <c r="C38" s="2" t="s">
        <v>55</v>
      </c>
    </row>
    <row r="39" spans="1:3" ht="20.100000000000001" customHeight="1" x14ac:dyDescent="0.45">
      <c r="A39" s="2" t="s">
        <v>14</v>
      </c>
      <c r="B39" s="2" t="s">
        <v>52</v>
      </c>
      <c r="C39" s="2" t="s">
        <v>56</v>
      </c>
    </row>
    <row r="40" spans="1:3" ht="20.100000000000001" customHeight="1" x14ac:dyDescent="0.45">
      <c r="A40" s="2" t="s">
        <v>18</v>
      </c>
      <c r="B40" s="2" t="s">
        <v>36</v>
      </c>
      <c r="C40" s="2" t="s">
        <v>37</v>
      </c>
    </row>
    <row r="41" spans="1:3" ht="20.100000000000001" customHeight="1" x14ac:dyDescent="0.45">
      <c r="A41" s="2" t="s">
        <v>18</v>
      </c>
      <c r="B41" s="2" t="s">
        <v>38</v>
      </c>
      <c r="C41" s="2" t="s">
        <v>39</v>
      </c>
    </row>
    <row r="42" spans="1:3" ht="20.100000000000001" customHeight="1" x14ac:dyDescent="0.45">
      <c r="A42" s="2" t="s">
        <v>18</v>
      </c>
      <c r="B42" s="2" t="s">
        <v>38</v>
      </c>
      <c r="C42" s="2" t="s">
        <v>40</v>
      </c>
    </row>
    <row r="43" spans="1:3" ht="20.100000000000001" customHeight="1" x14ac:dyDescent="0.45">
      <c r="A43" s="2" t="s">
        <v>18</v>
      </c>
      <c r="B43" s="2" t="s">
        <v>36</v>
      </c>
      <c r="C43" s="2" t="s">
        <v>41</v>
      </c>
    </row>
    <row r="44" spans="1:3" ht="20.100000000000001" customHeight="1" x14ac:dyDescent="0.45">
      <c r="A44" s="2" t="s">
        <v>18</v>
      </c>
      <c r="B44" s="2" t="s">
        <v>36</v>
      </c>
      <c r="C44" s="2" t="s">
        <v>42</v>
      </c>
    </row>
    <row r="45" spans="1:3" ht="20.100000000000001" customHeight="1" x14ac:dyDescent="0.45">
      <c r="A45" s="2" t="s">
        <v>18</v>
      </c>
      <c r="B45" s="2" t="s">
        <v>36</v>
      </c>
      <c r="C45" s="2" t="s">
        <v>1251</v>
      </c>
    </row>
    <row r="46" spans="1:3" ht="20.100000000000001" customHeight="1" x14ac:dyDescent="0.45">
      <c r="A46" s="2" t="s">
        <v>18</v>
      </c>
      <c r="B46" s="2" t="s">
        <v>43</v>
      </c>
      <c r="C46" s="2" t="s">
        <v>44</v>
      </c>
    </row>
    <row r="47" spans="1:3" ht="20.100000000000001" customHeight="1" x14ac:dyDescent="0.45">
      <c r="A47" s="2" t="s">
        <v>18</v>
      </c>
      <c r="B47" s="2" t="s">
        <v>43</v>
      </c>
      <c r="C47" s="2" t="s">
        <v>45</v>
      </c>
    </row>
    <row r="48" spans="1:3" ht="20.100000000000001" customHeight="1" x14ac:dyDescent="0.45">
      <c r="A48" s="2" t="s">
        <v>18</v>
      </c>
      <c r="B48" s="2" t="s">
        <v>46</v>
      </c>
      <c r="C48" s="2" t="s">
        <v>47</v>
      </c>
    </row>
    <row r="49" spans="1:3" ht="20.100000000000001" customHeight="1" x14ac:dyDescent="0.45">
      <c r="A49" s="2" t="s">
        <v>18</v>
      </c>
      <c r="B49" s="2" t="s">
        <v>46</v>
      </c>
      <c r="C49" s="2" t="s">
        <v>48</v>
      </c>
    </row>
    <row r="50" spans="1:3" ht="20.100000000000001" customHeight="1" x14ac:dyDescent="0.45">
      <c r="A50" s="2" t="s">
        <v>18</v>
      </c>
      <c r="B50" s="2" t="s">
        <v>49</v>
      </c>
      <c r="C50" s="2" t="s">
        <v>50</v>
      </c>
    </row>
    <row r="51" spans="1:3" ht="20.100000000000001" customHeight="1" x14ac:dyDescent="0.45">
      <c r="A51" s="2" t="s">
        <v>18</v>
      </c>
      <c r="B51" s="2" t="s">
        <v>49</v>
      </c>
      <c r="C51" s="2" t="s">
        <v>51</v>
      </c>
    </row>
    <row r="52" spans="1:3" ht="20.100000000000001" customHeight="1" x14ac:dyDescent="0.45">
      <c r="A52" s="2" t="s">
        <v>18</v>
      </c>
      <c r="B52" s="2" t="s">
        <v>49</v>
      </c>
      <c r="C52" s="2" t="s">
        <v>1254</v>
      </c>
    </row>
    <row r="53" spans="1:3" ht="20.100000000000001" customHeight="1" x14ac:dyDescent="0.45">
      <c r="A53" s="2" t="s">
        <v>18</v>
      </c>
      <c r="B53" s="2" t="s">
        <v>52</v>
      </c>
      <c r="C53" s="2" t="s">
        <v>53</v>
      </c>
    </row>
    <row r="54" spans="1:3" ht="20.100000000000001" customHeight="1" x14ac:dyDescent="0.45">
      <c r="A54" s="2" t="s">
        <v>18</v>
      </c>
      <c r="B54" s="2" t="s">
        <v>52</v>
      </c>
      <c r="C54" s="2" t="s">
        <v>1252</v>
      </c>
    </row>
    <row r="55" spans="1:3" ht="20.100000000000001" customHeight="1" x14ac:dyDescent="0.45">
      <c r="A55" s="2" t="s">
        <v>18</v>
      </c>
      <c r="B55" s="2" t="s">
        <v>52</v>
      </c>
      <c r="C55" s="2" t="s">
        <v>54</v>
      </c>
    </row>
    <row r="56" spans="1:3" ht="20.100000000000001" customHeight="1" x14ac:dyDescent="0.45">
      <c r="A56" s="2" t="s">
        <v>18</v>
      </c>
      <c r="B56" s="2" t="s">
        <v>52</v>
      </c>
      <c r="C56" s="2" t="s">
        <v>1253</v>
      </c>
    </row>
    <row r="57" spans="1:3" ht="20.100000000000001" customHeight="1" x14ac:dyDescent="0.45">
      <c r="A57" s="2" t="s">
        <v>18</v>
      </c>
      <c r="B57" s="2" t="s">
        <v>52</v>
      </c>
      <c r="C57" s="2" t="s">
        <v>55</v>
      </c>
    </row>
    <row r="58" spans="1:3" ht="20.100000000000001" customHeight="1" x14ac:dyDescent="0.45">
      <c r="A58" s="2" t="s">
        <v>18</v>
      </c>
      <c r="B58" s="2" t="s">
        <v>52</v>
      </c>
      <c r="C58" s="2" t="s">
        <v>56</v>
      </c>
    </row>
    <row r="59" spans="1:3" ht="20.100000000000001" customHeight="1" x14ac:dyDescent="0.45">
      <c r="A59" s="2" t="s">
        <v>22</v>
      </c>
      <c r="B59" s="2" t="s">
        <v>36</v>
      </c>
      <c r="C59" s="2" t="s">
        <v>37</v>
      </c>
    </row>
    <row r="60" spans="1:3" ht="20.100000000000001" customHeight="1" x14ac:dyDescent="0.45">
      <c r="A60" s="2" t="s">
        <v>22</v>
      </c>
      <c r="B60" s="2" t="s">
        <v>38</v>
      </c>
      <c r="C60" s="2" t="s">
        <v>39</v>
      </c>
    </row>
    <row r="61" spans="1:3" ht="20.100000000000001" customHeight="1" x14ac:dyDescent="0.45">
      <c r="A61" s="2" t="s">
        <v>22</v>
      </c>
      <c r="B61" s="2" t="s">
        <v>38</v>
      </c>
      <c r="C61" s="2" t="s">
        <v>40</v>
      </c>
    </row>
    <row r="62" spans="1:3" ht="20.100000000000001" customHeight="1" x14ac:dyDescent="0.45">
      <c r="A62" s="2" t="s">
        <v>22</v>
      </c>
      <c r="B62" s="2" t="s">
        <v>36</v>
      </c>
      <c r="C62" s="2" t="s">
        <v>41</v>
      </c>
    </row>
    <row r="63" spans="1:3" ht="20.100000000000001" customHeight="1" x14ac:dyDescent="0.45">
      <c r="A63" s="2" t="s">
        <v>22</v>
      </c>
      <c r="B63" s="2" t="s">
        <v>36</v>
      </c>
      <c r="C63" s="2" t="s">
        <v>42</v>
      </c>
    </row>
    <row r="64" spans="1:3" ht="20.100000000000001" customHeight="1" x14ac:dyDescent="0.45">
      <c r="A64" s="2" t="s">
        <v>22</v>
      </c>
      <c r="B64" s="2" t="s">
        <v>36</v>
      </c>
      <c r="C64" s="2" t="s">
        <v>1251</v>
      </c>
    </row>
    <row r="65" spans="1:3" ht="20.100000000000001" customHeight="1" x14ac:dyDescent="0.45">
      <c r="A65" s="2" t="s">
        <v>22</v>
      </c>
      <c r="B65" s="2" t="s">
        <v>43</v>
      </c>
      <c r="C65" s="2" t="s">
        <v>44</v>
      </c>
    </row>
    <row r="66" spans="1:3" ht="20.100000000000001" customHeight="1" x14ac:dyDescent="0.45">
      <c r="A66" s="2" t="s">
        <v>22</v>
      </c>
      <c r="B66" s="2" t="s">
        <v>43</v>
      </c>
      <c r="C66" s="2" t="s">
        <v>45</v>
      </c>
    </row>
    <row r="67" spans="1:3" ht="20.100000000000001" customHeight="1" x14ac:dyDescent="0.45">
      <c r="A67" s="2" t="s">
        <v>22</v>
      </c>
      <c r="B67" s="2" t="s">
        <v>46</v>
      </c>
      <c r="C67" s="2" t="s">
        <v>47</v>
      </c>
    </row>
    <row r="68" spans="1:3" ht="20.100000000000001" customHeight="1" x14ac:dyDescent="0.45">
      <c r="A68" s="2" t="s">
        <v>22</v>
      </c>
      <c r="B68" s="2" t="s">
        <v>46</v>
      </c>
      <c r="C68" s="2" t="s">
        <v>48</v>
      </c>
    </row>
    <row r="69" spans="1:3" ht="20.100000000000001" customHeight="1" x14ac:dyDescent="0.45">
      <c r="A69" s="2" t="s">
        <v>22</v>
      </c>
      <c r="B69" s="2" t="s">
        <v>49</v>
      </c>
      <c r="C69" s="2" t="s">
        <v>50</v>
      </c>
    </row>
    <row r="70" spans="1:3" ht="20.100000000000001" customHeight="1" x14ac:dyDescent="0.45">
      <c r="A70" s="2" t="s">
        <v>22</v>
      </c>
      <c r="B70" s="2" t="s">
        <v>49</v>
      </c>
      <c r="C70" s="2" t="s">
        <v>51</v>
      </c>
    </row>
    <row r="71" spans="1:3" ht="20.100000000000001" customHeight="1" x14ac:dyDescent="0.45">
      <c r="A71" s="2" t="s">
        <v>22</v>
      </c>
      <c r="B71" s="2" t="s">
        <v>49</v>
      </c>
      <c r="C71" s="2" t="s">
        <v>1254</v>
      </c>
    </row>
    <row r="72" spans="1:3" ht="20.100000000000001" customHeight="1" x14ac:dyDescent="0.45">
      <c r="A72" s="2" t="s">
        <v>22</v>
      </c>
      <c r="B72" s="2" t="s">
        <v>52</v>
      </c>
      <c r="C72" s="2" t="s">
        <v>53</v>
      </c>
    </row>
    <row r="73" spans="1:3" ht="20.100000000000001" customHeight="1" x14ac:dyDescent="0.45">
      <c r="A73" s="2" t="s">
        <v>22</v>
      </c>
      <c r="B73" s="2" t="s">
        <v>52</v>
      </c>
      <c r="C73" s="2" t="s">
        <v>1252</v>
      </c>
    </row>
    <row r="74" spans="1:3" ht="20.100000000000001" customHeight="1" x14ac:dyDescent="0.45">
      <c r="A74" s="2" t="s">
        <v>22</v>
      </c>
      <c r="B74" s="2" t="s">
        <v>52</v>
      </c>
      <c r="C74" s="2" t="s">
        <v>54</v>
      </c>
    </row>
    <row r="75" spans="1:3" ht="20.100000000000001" customHeight="1" x14ac:dyDescent="0.45">
      <c r="A75" s="2" t="s">
        <v>22</v>
      </c>
      <c r="B75" s="2" t="s">
        <v>52</v>
      </c>
      <c r="C75" s="2" t="s">
        <v>1253</v>
      </c>
    </row>
    <row r="76" spans="1:3" ht="20.100000000000001" customHeight="1" x14ac:dyDescent="0.45">
      <c r="A76" s="2" t="s">
        <v>22</v>
      </c>
      <c r="B76" s="2" t="s">
        <v>52</v>
      </c>
      <c r="C76" s="2" t="s">
        <v>55</v>
      </c>
    </row>
    <row r="77" spans="1:3" ht="20.100000000000001" customHeight="1" x14ac:dyDescent="0.45">
      <c r="A77" s="2" t="s">
        <v>22</v>
      </c>
      <c r="B77" s="2" t="s">
        <v>52</v>
      </c>
      <c r="C77" s="2" t="s">
        <v>56</v>
      </c>
    </row>
    <row r="78" spans="1:3" ht="20.100000000000001" customHeight="1" x14ac:dyDescent="0.45">
      <c r="A78" s="2" t="s">
        <v>26</v>
      </c>
      <c r="B78" s="2" t="s">
        <v>36</v>
      </c>
      <c r="C78" s="2" t="s">
        <v>37</v>
      </c>
    </row>
    <row r="79" spans="1:3" ht="20.100000000000001" customHeight="1" x14ac:dyDescent="0.45">
      <c r="A79" s="2" t="s">
        <v>26</v>
      </c>
      <c r="B79" s="2" t="s">
        <v>38</v>
      </c>
      <c r="C79" s="2" t="s">
        <v>39</v>
      </c>
    </row>
    <row r="80" spans="1:3" ht="20.100000000000001" customHeight="1" x14ac:dyDescent="0.45">
      <c r="A80" s="2" t="s">
        <v>26</v>
      </c>
      <c r="B80" s="2" t="s">
        <v>38</v>
      </c>
      <c r="C80" s="2" t="s">
        <v>40</v>
      </c>
    </row>
    <row r="81" spans="1:3" ht="20.100000000000001" customHeight="1" x14ac:dyDescent="0.45">
      <c r="A81" s="2" t="s">
        <v>26</v>
      </c>
      <c r="B81" s="2" t="s">
        <v>36</v>
      </c>
      <c r="C81" s="2" t="s">
        <v>41</v>
      </c>
    </row>
    <row r="82" spans="1:3" ht="20.100000000000001" customHeight="1" x14ac:dyDescent="0.45">
      <c r="A82" s="2" t="s">
        <v>26</v>
      </c>
      <c r="B82" s="2" t="s">
        <v>36</v>
      </c>
      <c r="C82" s="2" t="s">
        <v>42</v>
      </c>
    </row>
    <row r="83" spans="1:3" ht="20.100000000000001" customHeight="1" x14ac:dyDescent="0.45">
      <c r="A83" s="2" t="s">
        <v>26</v>
      </c>
      <c r="B83" s="2" t="s">
        <v>36</v>
      </c>
      <c r="C83" s="2" t="s">
        <v>1251</v>
      </c>
    </row>
    <row r="84" spans="1:3" ht="20.100000000000001" customHeight="1" x14ac:dyDescent="0.45">
      <c r="A84" s="2" t="s">
        <v>26</v>
      </c>
      <c r="B84" s="2" t="s">
        <v>43</v>
      </c>
      <c r="C84" s="2" t="s">
        <v>44</v>
      </c>
    </row>
    <row r="85" spans="1:3" ht="20.100000000000001" customHeight="1" x14ac:dyDescent="0.45">
      <c r="A85" s="2" t="s">
        <v>26</v>
      </c>
      <c r="B85" s="2" t="s">
        <v>43</v>
      </c>
      <c r="C85" s="2" t="s">
        <v>45</v>
      </c>
    </row>
    <row r="86" spans="1:3" ht="20.100000000000001" customHeight="1" x14ac:dyDescent="0.45">
      <c r="A86" s="2" t="s">
        <v>26</v>
      </c>
      <c r="B86" s="2" t="s">
        <v>46</v>
      </c>
      <c r="C86" s="2" t="s">
        <v>47</v>
      </c>
    </row>
    <row r="87" spans="1:3" ht="20.100000000000001" customHeight="1" x14ac:dyDescent="0.45">
      <c r="A87" s="2" t="s">
        <v>26</v>
      </c>
      <c r="B87" s="2" t="s">
        <v>46</v>
      </c>
      <c r="C87" s="2" t="s">
        <v>48</v>
      </c>
    </row>
    <row r="88" spans="1:3" ht="20.100000000000001" customHeight="1" x14ac:dyDescent="0.45">
      <c r="A88" s="2" t="s">
        <v>26</v>
      </c>
      <c r="B88" s="2" t="s">
        <v>49</v>
      </c>
      <c r="C88" s="2" t="s">
        <v>50</v>
      </c>
    </row>
    <row r="89" spans="1:3" ht="20.100000000000001" customHeight="1" x14ac:dyDescent="0.45">
      <c r="A89" s="2" t="s">
        <v>26</v>
      </c>
      <c r="B89" s="2" t="s">
        <v>49</v>
      </c>
      <c r="C89" s="2" t="s">
        <v>51</v>
      </c>
    </row>
    <row r="90" spans="1:3" ht="20.100000000000001" customHeight="1" x14ac:dyDescent="0.45">
      <c r="A90" s="2" t="s">
        <v>26</v>
      </c>
      <c r="B90" s="2" t="s">
        <v>49</v>
      </c>
      <c r="C90" s="2" t="s">
        <v>1254</v>
      </c>
    </row>
    <row r="91" spans="1:3" ht="20.100000000000001" customHeight="1" x14ac:dyDescent="0.45">
      <c r="A91" s="2" t="s">
        <v>26</v>
      </c>
      <c r="B91" s="2" t="s">
        <v>52</v>
      </c>
      <c r="C91" s="2" t="s">
        <v>53</v>
      </c>
    </row>
    <row r="92" spans="1:3" ht="20.100000000000001" customHeight="1" x14ac:dyDescent="0.45">
      <c r="A92" s="2" t="s">
        <v>26</v>
      </c>
      <c r="B92" s="2" t="s">
        <v>52</v>
      </c>
      <c r="C92" s="2" t="s">
        <v>1252</v>
      </c>
    </row>
    <row r="93" spans="1:3" ht="20.100000000000001" customHeight="1" x14ac:dyDescent="0.45">
      <c r="A93" s="2" t="s">
        <v>26</v>
      </c>
      <c r="B93" s="2" t="s">
        <v>52</v>
      </c>
      <c r="C93" s="2" t="s">
        <v>54</v>
      </c>
    </row>
    <row r="94" spans="1:3" ht="20.100000000000001" customHeight="1" x14ac:dyDescent="0.45">
      <c r="A94" s="2" t="s">
        <v>26</v>
      </c>
      <c r="B94" s="2" t="s">
        <v>52</v>
      </c>
      <c r="C94" s="2" t="s">
        <v>1253</v>
      </c>
    </row>
    <row r="95" spans="1:3" ht="20.100000000000001" customHeight="1" x14ac:dyDescent="0.45">
      <c r="A95" s="2" t="s">
        <v>26</v>
      </c>
      <c r="B95" s="2" t="s">
        <v>52</v>
      </c>
      <c r="C95" s="2" t="s">
        <v>55</v>
      </c>
    </row>
    <row r="96" spans="1:3" ht="20.100000000000001" customHeight="1" x14ac:dyDescent="0.45">
      <c r="A96" s="2" t="s">
        <v>26</v>
      </c>
      <c r="B96" s="2" t="s">
        <v>52</v>
      </c>
      <c r="C96" s="2" t="s">
        <v>56</v>
      </c>
    </row>
    <row r="97" spans="1:3" ht="20.100000000000001" customHeight="1" x14ac:dyDescent="0.45">
      <c r="A97" s="2" t="s">
        <v>30</v>
      </c>
      <c r="B97" s="2" t="s">
        <v>36</v>
      </c>
      <c r="C97" s="2" t="s">
        <v>37</v>
      </c>
    </row>
    <row r="98" spans="1:3" ht="20.100000000000001" customHeight="1" x14ac:dyDescent="0.45">
      <c r="A98" s="2" t="s">
        <v>30</v>
      </c>
      <c r="B98" s="2" t="s">
        <v>38</v>
      </c>
      <c r="C98" s="2" t="s">
        <v>39</v>
      </c>
    </row>
    <row r="99" spans="1:3" ht="20.100000000000001" customHeight="1" x14ac:dyDescent="0.45">
      <c r="A99" s="2" t="s">
        <v>30</v>
      </c>
      <c r="B99" s="2" t="s">
        <v>38</v>
      </c>
      <c r="C99" s="2" t="s">
        <v>40</v>
      </c>
    </row>
    <row r="100" spans="1:3" ht="20.100000000000001" customHeight="1" x14ac:dyDescent="0.45">
      <c r="A100" s="2" t="s">
        <v>30</v>
      </c>
      <c r="B100" s="2" t="s">
        <v>36</v>
      </c>
      <c r="C100" s="2" t="s">
        <v>41</v>
      </c>
    </row>
    <row r="101" spans="1:3" ht="20.100000000000001" customHeight="1" x14ac:dyDescent="0.45">
      <c r="A101" s="2" t="s">
        <v>30</v>
      </c>
      <c r="B101" s="2" t="s">
        <v>36</v>
      </c>
      <c r="C101" s="2" t="s">
        <v>42</v>
      </c>
    </row>
    <row r="102" spans="1:3" ht="20.100000000000001" customHeight="1" x14ac:dyDescent="0.45">
      <c r="A102" s="2" t="s">
        <v>30</v>
      </c>
      <c r="B102" s="2" t="s">
        <v>36</v>
      </c>
      <c r="C102" s="2" t="s">
        <v>1251</v>
      </c>
    </row>
    <row r="103" spans="1:3" ht="20.100000000000001" customHeight="1" x14ac:dyDescent="0.45">
      <c r="A103" s="2" t="s">
        <v>30</v>
      </c>
      <c r="B103" s="2" t="s">
        <v>43</v>
      </c>
      <c r="C103" s="2" t="s">
        <v>44</v>
      </c>
    </row>
    <row r="104" spans="1:3" ht="20.100000000000001" customHeight="1" x14ac:dyDescent="0.45">
      <c r="A104" s="2" t="s">
        <v>30</v>
      </c>
      <c r="B104" s="2" t="s">
        <v>43</v>
      </c>
      <c r="C104" s="2" t="s">
        <v>45</v>
      </c>
    </row>
    <row r="105" spans="1:3" ht="20.100000000000001" customHeight="1" x14ac:dyDescent="0.45">
      <c r="A105" s="2" t="s">
        <v>30</v>
      </c>
      <c r="B105" s="2" t="s">
        <v>46</v>
      </c>
      <c r="C105" s="2" t="s">
        <v>47</v>
      </c>
    </row>
    <row r="106" spans="1:3" ht="20.100000000000001" customHeight="1" x14ac:dyDescent="0.45">
      <c r="A106" s="2" t="s">
        <v>30</v>
      </c>
      <c r="B106" s="2" t="s">
        <v>46</v>
      </c>
      <c r="C106" s="2" t="s">
        <v>48</v>
      </c>
    </row>
    <row r="107" spans="1:3" ht="20.100000000000001" customHeight="1" x14ac:dyDescent="0.45">
      <c r="A107" s="2" t="s">
        <v>30</v>
      </c>
      <c r="B107" s="2" t="s">
        <v>49</v>
      </c>
      <c r="C107" s="2" t="s">
        <v>50</v>
      </c>
    </row>
    <row r="108" spans="1:3" ht="20.100000000000001" customHeight="1" x14ac:dyDescent="0.45">
      <c r="A108" s="2" t="s">
        <v>30</v>
      </c>
      <c r="B108" s="2" t="s">
        <v>49</v>
      </c>
      <c r="C108" s="2" t="s">
        <v>51</v>
      </c>
    </row>
    <row r="109" spans="1:3" ht="20.100000000000001" customHeight="1" x14ac:dyDescent="0.45">
      <c r="A109" s="2" t="s">
        <v>30</v>
      </c>
      <c r="B109" s="2" t="s">
        <v>49</v>
      </c>
      <c r="C109" s="2" t="s">
        <v>1254</v>
      </c>
    </row>
    <row r="110" spans="1:3" ht="20.100000000000001" customHeight="1" x14ac:dyDescent="0.45">
      <c r="A110" s="2" t="s">
        <v>30</v>
      </c>
      <c r="B110" s="2" t="s">
        <v>52</v>
      </c>
      <c r="C110" s="2" t="s">
        <v>53</v>
      </c>
    </row>
    <row r="111" spans="1:3" ht="20.100000000000001" customHeight="1" x14ac:dyDescent="0.45">
      <c r="A111" s="2" t="s">
        <v>30</v>
      </c>
      <c r="B111" s="2" t="s">
        <v>52</v>
      </c>
      <c r="C111" s="2" t="s">
        <v>1252</v>
      </c>
    </row>
    <row r="112" spans="1:3" ht="20.100000000000001" customHeight="1" x14ac:dyDescent="0.45">
      <c r="A112" s="2" t="s">
        <v>30</v>
      </c>
      <c r="B112" s="2" t="s">
        <v>52</v>
      </c>
      <c r="C112" s="2" t="s">
        <v>54</v>
      </c>
    </row>
    <row r="113" spans="1:3" ht="20.100000000000001" customHeight="1" x14ac:dyDescent="0.45">
      <c r="A113" s="2" t="s">
        <v>30</v>
      </c>
      <c r="B113" s="2" t="s">
        <v>52</v>
      </c>
      <c r="C113" s="2" t="s">
        <v>1253</v>
      </c>
    </row>
    <row r="114" spans="1:3" ht="20.100000000000001" customHeight="1" x14ac:dyDescent="0.45">
      <c r="A114" s="2" t="s">
        <v>30</v>
      </c>
      <c r="B114" s="2" t="s">
        <v>52</v>
      </c>
      <c r="C114" s="2" t="s">
        <v>55</v>
      </c>
    </row>
    <row r="115" spans="1:3" ht="20.100000000000001" customHeight="1" x14ac:dyDescent="0.45">
      <c r="A115" s="2" t="s">
        <v>30</v>
      </c>
      <c r="B115" s="2" t="s">
        <v>52</v>
      </c>
      <c r="C115" s="2" t="s">
        <v>56</v>
      </c>
    </row>
  </sheetData>
  <autoFilter ref="A1:C115" xr:uid="{00000000-0009-0000-0000-000002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"/>
  <sheetViews>
    <sheetView showGridLines="0" zoomScale="90" workbookViewId="0">
      <pane ySplit="1" topLeftCell="A16" activePane="bottomLeft" state="frozen"/>
      <selection pane="bottomLeft" activeCell="E34" sqref="E34:F35"/>
    </sheetView>
  </sheetViews>
  <sheetFormatPr defaultColWidth="9.1328125" defaultRowHeight="14.25" x14ac:dyDescent="0.45"/>
  <cols>
    <col min="1" max="1" width="27" customWidth="1"/>
    <col min="2" max="2" width="12" customWidth="1"/>
    <col min="3" max="3" width="18" customWidth="1"/>
    <col min="4" max="4" width="23" customWidth="1"/>
    <col min="5" max="5" width="29" customWidth="1"/>
    <col min="6" max="6" width="16" customWidth="1"/>
  </cols>
  <sheetData>
    <row r="1" spans="1:6" ht="30" customHeight="1" x14ac:dyDescent="0.45">
      <c r="A1" s="1" t="s">
        <v>1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 ht="20.100000000000001" customHeight="1" x14ac:dyDescent="0.45">
      <c r="A2" s="2" t="s">
        <v>14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</row>
    <row r="3" spans="1:6" ht="20.100000000000001" customHeight="1" x14ac:dyDescent="0.45">
      <c r="A3" s="2" t="s">
        <v>14</v>
      </c>
      <c r="B3" s="2" t="s">
        <v>67</v>
      </c>
      <c r="C3" s="2" t="s">
        <v>63</v>
      </c>
      <c r="D3" s="2" t="s">
        <v>64</v>
      </c>
      <c r="E3" s="2" t="s">
        <v>65</v>
      </c>
      <c r="F3" s="2" t="s">
        <v>66</v>
      </c>
    </row>
    <row r="4" spans="1:6" ht="20.100000000000001" customHeight="1" x14ac:dyDescent="0.45">
      <c r="A4" s="2" t="s">
        <v>14</v>
      </c>
      <c r="B4" s="2" t="s">
        <v>68</v>
      </c>
      <c r="C4" s="2" t="s">
        <v>63</v>
      </c>
      <c r="D4" s="2" t="s">
        <v>64</v>
      </c>
      <c r="E4" s="2" t="s">
        <v>65</v>
      </c>
      <c r="F4" s="2" t="s">
        <v>66</v>
      </c>
    </row>
    <row r="5" spans="1:6" ht="20.100000000000001" customHeight="1" x14ac:dyDescent="0.45">
      <c r="A5" s="2" t="s">
        <v>14</v>
      </c>
      <c r="B5" s="2" t="s">
        <v>69</v>
      </c>
      <c r="C5" s="2" t="s">
        <v>63</v>
      </c>
      <c r="D5" s="2" t="s">
        <v>64</v>
      </c>
      <c r="E5" s="2" t="s">
        <v>65</v>
      </c>
      <c r="F5" s="2" t="s">
        <v>66</v>
      </c>
    </row>
    <row r="6" spans="1:6" ht="20.100000000000001" customHeight="1" x14ac:dyDescent="0.45">
      <c r="A6" s="2" t="s">
        <v>14</v>
      </c>
      <c r="B6" s="2" t="s">
        <v>70</v>
      </c>
      <c r="C6" s="2" t="s">
        <v>63</v>
      </c>
      <c r="D6" s="2" t="s">
        <v>64</v>
      </c>
      <c r="E6" s="2" t="s">
        <v>66</v>
      </c>
      <c r="F6" s="2" t="s">
        <v>71</v>
      </c>
    </row>
    <row r="7" spans="1:6" ht="20.100000000000001" customHeight="1" x14ac:dyDescent="0.45">
      <c r="A7" s="2" t="s">
        <v>14</v>
      </c>
      <c r="B7" s="2" t="s">
        <v>72</v>
      </c>
      <c r="C7" s="2" t="s">
        <v>63</v>
      </c>
      <c r="D7" s="2" t="s">
        <v>64</v>
      </c>
      <c r="E7" s="2" t="s">
        <v>66</v>
      </c>
      <c r="F7" s="2" t="s">
        <v>71</v>
      </c>
    </row>
    <row r="8" spans="1:6" ht="20.100000000000001" customHeight="1" x14ac:dyDescent="0.45">
      <c r="A8" s="2" t="s">
        <v>14</v>
      </c>
      <c r="B8" s="2" t="s">
        <v>73</v>
      </c>
      <c r="C8" s="2" t="s">
        <v>63</v>
      </c>
      <c r="D8" s="2" t="s">
        <v>64</v>
      </c>
      <c r="E8" s="2" t="s">
        <v>74</v>
      </c>
      <c r="F8" s="2" t="s">
        <v>65</v>
      </c>
    </row>
    <row r="9" spans="1:6" ht="20.100000000000001" customHeight="1" x14ac:dyDescent="0.45">
      <c r="A9" s="2" t="s">
        <v>18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66</v>
      </c>
    </row>
    <row r="10" spans="1:6" ht="20.100000000000001" customHeight="1" x14ac:dyDescent="0.45">
      <c r="A10" s="2" t="s">
        <v>18</v>
      </c>
      <c r="B10" s="2" t="s">
        <v>67</v>
      </c>
      <c r="C10" s="2" t="s">
        <v>63</v>
      </c>
      <c r="D10" s="2" t="s">
        <v>64</v>
      </c>
      <c r="E10" s="2" t="s">
        <v>65</v>
      </c>
      <c r="F10" s="2" t="s">
        <v>66</v>
      </c>
    </row>
    <row r="11" spans="1:6" ht="20.100000000000001" customHeight="1" x14ac:dyDescent="0.45">
      <c r="A11" s="2" t="s">
        <v>18</v>
      </c>
      <c r="B11" s="2" t="s">
        <v>68</v>
      </c>
      <c r="C11" s="2" t="s">
        <v>63</v>
      </c>
      <c r="D11" s="2" t="s">
        <v>64</v>
      </c>
      <c r="E11" s="2" t="s">
        <v>65</v>
      </c>
      <c r="F11" s="2" t="s">
        <v>66</v>
      </c>
    </row>
    <row r="12" spans="1:6" ht="20.100000000000001" customHeight="1" x14ac:dyDescent="0.45">
      <c r="A12" s="2" t="s">
        <v>18</v>
      </c>
      <c r="B12" s="2" t="s">
        <v>69</v>
      </c>
      <c r="C12" s="2" t="s">
        <v>63</v>
      </c>
      <c r="D12" s="2" t="s">
        <v>64</v>
      </c>
      <c r="E12" s="2" t="s">
        <v>65</v>
      </c>
      <c r="F12" s="2" t="s">
        <v>66</v>
      </c>
    </row>
    <row r="13" spans="1:6" ht="20.100000000000001" customHeight="1" x14ac:dyDescent="0.45">
      <c r="A13" s="2" t="s">
        <v>18</v>
      </c>
      <c r="B13" s="2" t="s">
        <v>70</v>
      </c>
      <c r="C13" s="2" t="s">
        <v>63</v>
      </c>
      <c r="D13" s="2" t="s">
        <v>64</v>
      </c>
      <c r="E13" s="2" t="s">
        <v>66</v>
      </c>
      <c r="F13" s="2" t="s">
        <v>71</v>
      </c>
    </row>
    <row r="14" spans="1:6" ht="20.100000000000001" customHeight="1" x14ac:dyDescent="0.45">
      <c r="A14" s="2" t="s">
        <v>18</v>
      </c>
      <c r="B14" s="2" t="s">
        <v>72</v>
      </c>
      <c r="C14" s="2" t="s">
        <v>63</v>
      </c>
      <c r="D14" s="2" t="s">
        <v>64</v>
      </c>
      <c r="E14" s="2" t="s">
        <v>66</v>
      </c>
      <c r="F14" s="2" t="s">
        <v>71</v>
      </c>
    </row>
    <row r="15" spans="1:6" ht="20.100000000000001" customHeight="1" x14ac:dyDescent="0.45">
      <c r="A15" s="2" t="s">
        <v>18</v>
      </c>
      <c r="B15" s="2" t="s">
        <v>73</v>
      </c>
      <c r="C15" s="2" t="s">
        <v>63</v>
      </c>
      <c r="D15" s="2" t="s">
        <v>64</v>
      </c>
      <c r="E15" s="2" t="s">
        <v>74</v>
      </c>
      <c r="F15" s="2" t="s">
        <v>65</v>
      </c>
    </row>
    <row r="16" spans="1:6" ht="20.100000000000001" customHeight="1" x14ac:dyDescent="0.45">
      <c r="A16" s="2" t="s">
        <v>22</v>
      </c>
      <c r="B16" s="2" t="s">
        <v>62</v>
      </c>
      <c r="C16" s="2" t="s">
        <v>63</v>
      </c>
      <c r="D16" s="2" t="s">
        <v>64</v>
      </c>
      <c r="E16" s="2" t="s">
        <v>75</v>
      </c>
      <c r="F16" s="2" t="s">
        <v>76</v>
      </c>
    </row>
    <row r="17" spans="1:6" ht="20.100000000000001" customHeight="1" x14ac:dyDescent="0.45">
      <c r="A17" s="2" t="s">
        <v>22</v>
      </c>
      <c r="B17" s="2" t="s">
        <v>67</v>
      </c>
      <c r="C17" s="2" t="s">
        <v>63</v>
      </c>
      <c r="D17" s="2" t="s">
        <v>64</v>
      </c>
      <c r="E17" s="2" t="s">
        <v>75</v>
      </c>
      <c r="F17" s="2" t="s">
        <v>76</v>
      </c>
    </row>
    <row r="18" spans="1:6" ht="20.100000000000001" customHeight="1" x14ac:dyDescent="0.45">
      <c r="A18" s="2" t="s">
        <v>22</v>
      </c>
      <c r="B18" s="2" t="s">
        <v>68</v>
      </c>
      <c r="C18" s="2" t="s">
        <v>63</v>
      </c>
      <c r="D18" s="2" t="s">
        <v>64</v>
      </c>
      <c r="E18" s="2" t="s">
        <v>75</v>
      </c>
      <c r="F18" s="2" t="s">
        <v>76</v>
      </c>
    </row>
    <row r="19" spans="1:6" ht="20.100000000000001" customHeight="1" x14ac:dyDescent="0.45">
      <c r="A19" s="2" t="s">
        <v>22</v>
      </c>
      <c r="B19" s="2" t="s">
        <v>69</v>
      </c>
      <c r="C19" s="2" t="s">
        <v>63</v>
      </c>
      <c r="D19" s="2" t="s">
        <v>64</v>
      </c>
      <c r="E19" s="2" t="s">
        <v>75</v>
      </c>
      <c r="F19" s="2" t="s">
        <v>76</v>
      </c>
    </row>
    <row r="20" spans="1:6" ht="20.100000000000001" customHeight="1" x14ac:dyDescent="0.45">
      <c r="A20" s="2" t="s">
        <v>22</v>
      </c>
      <c r="B20" s="2" t="s">
        <v>70</v>
      </c>
      <c r="C20" s="2" t="s">
        <v>63</v>
      </c>
      <c r="D20" s="2" t="s">
        <v>64</v>
      </c>
      <c r="E20" s="2" t="s">
        <v>76</v>
      </c>
      <c r="F20" s="2" t="s">
        <v>77</v>
      </c>
    </row>
    <row r="21" spans="1:6" ht="20.100000000000001" customHeight="1" x14ac:dyDescent="0.45">
      <c r="A21" s="2" t="s">
        <v>22</v>
      </c>
      <c r="B21" s="2" t="s">
        <v>72</v>
      </c>
      <c r="C21" s="2" t="s">
        <v>63</v>
      </c>
      <c r="D21" s="2" t="s">
        <v>64</v>
      </c>
      <c r="E21" s="2" t="s">
        <v>76</v>
      </c>
      <c r="F21" s="2" t="s">
        <v>77</v>
      </c>
    </row>
    <row r="22" spans="1:6" ht="20.100000000000001" customHeight="1" x14ac:dyDescent="0.45">
      <c r="A22" s="2" t="s">
        <v>22</v>
      </c>
      <c r="B22" s="2" t="s">
        <v>73</v>
      </c>
      <c r="C22" s="2" t="s">
        <v>63</v>
      </c>
      <c r="D22" s="2" t="s">
        <v>64</v>
      </c>
      <c r="E22" s="2" t="s">
        <v>76</v>
      </c>
      <c r="F22" s="2" t="s">
        <v>71</v>
      </c>
    </row>
    <row r="23" spans="1:6" ht="20.100000000000001" customHeight="1" x14ac:dyDescent="0.45">
      <c r="A23" s="2" t="s">
        <v>8</v>
      </c>
      <c r="B23" s="2" t="s">
        <v>62</v>
      </c>
      <c r="C23" s="2" t="s">
        <v>63</v>
      </c>
      <c r="D23" s="2" t="s">
        <v>64</v>
      </c>
      <c r="E23" s="2" t="s">
        <v>65</v>
      </c>
      <c r="F23" s="2" t="s">
        <v>66</v>
      </c>
    </row>
    <row r="24" spans="1:6" ht="20.100000000000001" customHeight="1" x14ac:dyDescent="0.45">
      <c r="A24" s="2" t="s">
        <v>8</v>
      </c>
      <c r="B24" s="2" t="s">
        <v>67</v>
      </c>
      <c r="C24" s="2" t="s">
        <v>63</v>
      </c>
      <c r="D24" s="2" t="s">
        <v>64</v>
      </c>
      <c r="E24" s="2" t="s">
        <v>65</v>
      </c>
      <c r="F24" s="2" t="s">
        <v>66</v>
      </c>
    </row>
    <row r="25" spans="1:6" ht="20.100000000000001" customHeight="1" x14ac:dyDescent="0.45">
      <c r="A25" s="2" t="s">
        <v>8</v>
      </c>
      <c r="B25" s="2" t="s">
        <v>68</v>
      </c>
      <c r="C25" s="2" t="s">
        <v>63</v>
      </c>
      <c r="D25" s="2" t="s">
        <v>64</v>
      </c>
      <c r="E25" s="2" t="s">
        <v>65</v>
      </c>
      <c r="F25" s="2" t="s">
        <v>66</v>
      </c>
    </row>
    <row r="26" spans="1:6" ht="20.100000000000001" customHeight="1" x14ac:dyDescent="0.45">
      <c r="A26" s="2" t="s">
        <v>8</v>
      </c>
      <c r="B26" s="2" t="s">
        <v>69</v>
      </c>
      <c r="C26" s="2" t="s">
        <v>63</v>
      </c>
      <c r="D26" s="2" t="s">
        <v>64</v>
      </c>
      <c r="E26" s="2" t="s">
        <v>65</v>
      </c>
      <c r="F26" s="2" t="s">
        <v>66</v>
      </c>
    </row>
    <row r="27" spans="1:6" ht="20.100000000000001" customHeight="1" x14ac:dyDescent="0.45">
      <c r="A27" s="2" t="s">
        <v>8</v>
      </c>
      <c r="B27" s="2" t="s">
        <v>70</v>
      </c>
      <c r="C27" s="2" t="s">
        <v>63</v>
      </c>
      <c r="D27" s="2" t="s">
        <v>64</v>
      </c>
      <c r="E27" s="2" t="s">
        <v>66</v>
      </c>
      <c r="F27" s="2" t="s">
        <v>71</v>
      </c>
    </row>
    <row r="28" spans="1:6" ht="20.100000000000001" customHeight="1" x14ac:dyDescent="0.45">
      <c r="A28" s="2" t="s">
        <v>8</v>
      </c>
      <c r="B28" s="2" t="s">
        <v>72</v>
      </c>
      <c r="C28" s="2" t="s">
        <v>63</v>
      </c>
      <c r="D28" s="2" t="s">
        <v>64</v>
      </c>
      <c r="E28" s="2" t="s">
        <v>66</v>
      </c>
      <c r="F28" s="2" t="s">
        <v>71</v>
      </c>
    </row>
    <row r="29" spans="1:6" ht="20.100000000000001" customHeight="1" x14ac:dyDescent="0.45">
      <c r="A29" s="2" t="s">
        <v>8</v>
      </c>
      <c r="B29" s="2" t="s">
        <v>73</v>
      </c>
      <c r="C29" s="2" t="s">
        <v>63</v>
      </c>
      <c r="D29" s="2" t="s">
        <v>64</v>
      </c>
      <c r="E29" s="2" t="s">
        <v>74</v>
      </c>
      <c r="F29" s="2" t="s">
        <v>65</v>
      </c>
    </row>
    <row r="30" spans="1:6" ht="20.100000000000001" customHeight="1" x14ac:dyDescent="0.45">
      <c r="A30" s="2" t="s">
        <v>26</v>
      </c>
      <c r="B30" s="2" t="s">
        <v>62</v>
      </c>
      <c r="C30" s="2" t="s">
        <v>78</v>
      </c>
      <c r="D30" s="2" t="s">
        <v>64</v>
      </c>
      <c r="E30" s="2" t="s">
        <v>65</v>
      </c>
      <c r="F30" s="2" t="s">
        <v>66</v>
      </c>
    </row>
    <row r="31" spans="1:6" ht="20.100000000000001" customHeight="1" x14ac:dyDescent="0.45">
      <c r="A31" s="2" t="s">
        <v>26</v>
      </c>
      <c r="B31" s="2" t="s">
        <v>67</v>
      </c>
      <c r="C31" s="2" t="s">
        <v>78</v>
      </c>
      <c r="D31" s="2" t="s">
        <v>64</v>
      </c>
      <c r="E31" s="2" t="s">
        <v>65</v>
      </c>
      <c r="F31" s="2" t="s">
        <v>66</v>
      </c>
    </row>
    <row r="32" spans="1:6" ht="20.100000000000001" customHeight="1" x14ac:dyDescent="0.45">
      <c r="A32" s="2" t="s">
        <v>26</v>
      </c>
      <c r="B32" s="2" t="s">
        <v>68</v>
      </c>
      <c r="C32" s="2" t="s">
        <v>78</v>
      </c>
      <c r="D32" s="2" t="s">
        <v>64</v>
      </c>
      <c r="E32" s="2" t="s">
        <v>65</v>
      </c>
      <c r="F32" s="2" t="s">
        <v>66</v>
      </c>
    </row>
    <row r="33" spans="1:6" ht="20.100000000000001" customHeight="1" x14ac:dyDescent="0.45">
      <c r="A33" s="2" t="s">
        <v>26</v>
      </c>
      <c r="B33" s="2" t="s">
        <v>69</v>
      </c>
      <c r="C33" s="2" t="s">
        <v>78</v>
      </c>
      <c r="D33" s="2" t="s">
        <v>64</v>
      </c>
      <c r="E33" s="2" t="s">
        <v>65</v>
      </c>
      <c r="F33" s="2" t="s">
        <v>66</v>
      </c>
    </row>
    <row r="34" spans="1:6" ht="20.100000000000001" customHeight="1" x14ac:dyDescent="0.45">
      <c r="A34" s="2" t="s">
        <v>26</v>
      </c>
      <c r="B34" s="2" t="s">
        <v>70</v>
      </c>
      <c r="C34" s="2" t="s">
        <v>78</v>
      </c>
      <c r="D34" s="2" t="s">
        <v>64</v>
      </c>
      <c r="E34" s="2" t="s">
        <v>66</v>
      </c>
      <c r="F34" s="2" t="s">
        <v>71</v>
      </c>
    </row>
    <row r="35" spans="1:6" ht="20.100000000000001" customHeight="1" x14ac:dyDescent="0.45">
      <c r="A35" s="2" t="s">
        <v>26</v>
      </c>
      <c r="B35" s="2" t="s">
        <v>72</v>
      </c>
      <c r="C35" s="2" t="s">
        <v>78</v>
      </c>
      <c r="D35" s="2" t="s">
        <v>64</v>
      </c>
      <c r="E35" s="2" t="s">
        <v>66</v>
      </c>
      <c r="F35" s="2" t="s">
        <v>71</v>
      </c>
    </row>
    <row r="36" spans="1:6" ht="20.100000000000001" customHeight="1" x14ac:dyDescent="0.45">
      <c r="A36" s="2" t="s">
        <v>26</v>
      </c>
      <c r="B36" s="2" t="s">
        <v>73</v>
      </c>
      <c r="C36" s="2" t="s">
        <v>78</v>
      </c>
      <c r="D36" s="2" t="s">
        <v>64</v>
      </c>
      <c r="E36" s="2" t="s">
        <v>74</v>
      </c>
      <c r="F36" s="2" t="s">
        <v>65</v>
      </c>
    </row>
    <row r="37" spans="1:6" x14ac:dyDescent="0.45">
      <c r="A37" s="2" t="s">
        <v>30</v>
      </c>
      <c r="B37" s="2" t="s">
        <v>62</v>
      </c>
      <c r="C37" s="2" t="s">
        <v>63</v>
      </c>
      <c r="D37" s="2" t="s">
        <v>64</v>
      </c>
      <c r="E37" s="2" t="s">
        <v>65</v>
      </c>
      <c r="F37" s="2" t="s">
        <v>66</v>
      </c>
    </row>
    <row r="38" spans="1:6" x14ac:dyDescent="0.45">
      <c r="A38" s="2" t="s">
        <v>30</v>
      </c>
      <c r="B38" s="2" t="s">
        <v>67</v>
      </c>
      <c r="C38" s="2" t="s">
        <v>63</v>
      </c>
      <c r="D38" s="2" t="s">
        <v>64</v>
      </c>
      <c r="E38" s="2" t="s">
        <v>65</v>
      </c>
      <c r="F38" s="2" t="s">
        <v>66</v>
      </c>
    </row>
    <row r="39" spans="1:6" x14ac:dyDescent="0.45">
      <c r="A39" s="2" t="s">
        <v>30</v>
      </c>
      <c r="B39" s="2" t="s">
        <v>68</v>
      </c>
      <c r="C39" s="2" t="s">
        <v>63</v>
      </c>
      <c r="D39" s="2" t="s">
        <v>64</v>
      </c>
      <c r="E39" s="2" t="s">
        <v>65</v>
      </c>
      <c r="F39" s="2" t="s">
        <v>66</v>
      </c>
    </row>
    <row r="40" spans="1:6" x14ac:dyDescent="0.45">
      <c r="A40" s="2" t="s">
        <v>30</v>
      </c>
      <c r="B40" s="2" t="s">
        <v>69</v>
      </c>
      <c r="C40" s="2" t="s">
        <v>63</v>
      </c>
      <c r="D40" s="2" t="s">
        <v>64</v>
      </c>
      <c r="E40" s="2" t="s">
        <v>65</v>
      </c>
      <c r="F40" s="2" t="s">
        <v>66</v>
      </c>
    </row>
    <row r="41" spans="1:6" x14ac:dyDescent="0.45">
      <c r="A41" s="2" t="s">
        <v>30</v>
      </c>
      <c r="B41" s="2" t="s">
        <v>70</v>
      </c>
      <c r="C41" s="2" t="s">
        <v>63</v>
      </c>
      <c r="D41" s="2" t="s">
        <v>64</v>
      </c>
      <c r="E41" s="2" t="s">
        <v>66</v>
      </c>
      <c r="F41" s="2" t="s">
        <v>71</v>
      </c>
    </row>
    <row r="42" spans="1:6" x14ac:dyDescent="0.45">
      <c r="A42" s="2" t="s">
        <v>30</v>
      </c>
      <c r="B42" s="2" t="s">
        <v>72</v>
      </c>
      <c r="C42" s="2" t="s">
        <v>63</v>
      </c>
      <c r="D42" s="2" t="s">
        <v>64</v>
      </c>
      <c r="E42" s="2" t="s">
        <v>66</v>
      </c>
      <c r="F42" s="2" t="s">
        <v>71</v>
      </c>
    </row>
    <row r="43" spans="1:6" x14ac:dyDescent="0.45">
      <c r="A43" s="2" t="s">
        <v>30</v>
      </c>
      <c r="B43" s="2" t="s">
        <v>73</v>
      </c>
      <c r="C43" s="2" t="s">
        <v>63</v>
      </c>
      <c r="D43" s="2" t="s">
        <v>64</v>
      </c>
      <c r="E43" s="2" t="s">
        <v>74</v>
      </c>
      <c r="F43" s="2" t="s">
        <v>65</v>
      </c>
    </row>
  </sheetData>
  <autoFilter ref="A1:F36" xr:uid="{00000000-0009-0000-0000-000003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showGridLines="0" zoomScale="90" workbookViewId="0">
      <pane ySplit="1" topLeftCell="A2" activePane="bottomLeft" state="frozen"/>
      <selection pane="bottomLeft" activeCell="C11" sqref="C11"/>
    </sheetView>
  </sheetViews>
  <sheetFormatPr defaultColWidth="9.1328125" defaultRowHeight="14.25" x14ac:dyDescent="0.45"/>
  <cols>
    <col min="1" max="1" width="23" customWidth="1"/>
    <col min="2" max="2" width="21" customWidth="1"/>
    <col min="3" max="3" width="16" customWidth="1"/>
    <col min="4" max="4" width="12" customWidth="1"/>
  </cols>
  <sheetData>
    <row r="1" spans="1:4" ht="30" customHeight="1" x14ac:dyDescent="0.45">
      <c r="A1" s="1" t="s">
        <v>79</v>
      </c>
      <c r="B1" s="1" t="s">
        <v>80</v>
      </c>
      <c r="C1" s="1" t="s">
        <v>81</v>
      </c>
      <c r="D1" s="1" t="s">
        <v>82</v>
      </c>
    </row>
    <row r="2" spans="1:4" ht="20.100000000000001" customHeight="1" x14ac:dyDescent="0.45">
      <c r="A2" s="2" t="s">
        <v>492</v>
      </c>
      <c r="B2" s="2" t="s">
        <v>1944</v>
      </c>
      <c r="C2" s="2">
        <v>60</v>
      </c>
      <c r="D2" s="2" t="s">
        <v>13</v>
      </c>
    </row>
    <row r="3" spans="1:4" ht="20.100000000000001" customHeight="1" x14ac:dyDescent="0.45">
      <c r="A3" s="2"/>
      <c r="B3" s="2"/>
      <c r="C3" s="2"/>
      <c r="D3" s="2"/>
    </row>
    <row r="4" spans="1:4" ht="20.100000000000001" customHeight="1" x14ac:dyDescent="0.45">
      <c r="A4" s="2"/>
      <c r="B4" s="2"/>
      <c r="C4" s="2"/>
      <c r="D4" s="2"/>
    </row>
  </sheetData>
  <autoFilter ref="A1:D4" xr:uid="{00000000-0009-0000-0000-000004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954B-525C-4DA7-834B-A48AAB00FFF7}">
  <dimension ref="B1:J290"/>
  <sheetViews>
    <sheetView topLeftCell="D1" workbookViewId="0">
      <selection activeCell="H2" sqref="H2:J290"/>
    </sheetView>
  </sheetViews>
  <sheetFormatPr defaultColWidth="10.6640625" defaultRowHeight="14.25" x14ac:dyDescent="0.45"/>
  <cols>
    <col min="2" max="2" width="37.59765625" customWidth="1"/>
    <col min="3" max="3" width="17.73046875" customWidth="1"/>
    <col min="4" max="4" width="21.59765625" customWidth="1"/>
    <col min="8" max="8" width="48.73046875" bestFit="1" customWidth="1"/>
    <col min="9" max="9" width="14.265625" customWidth="1"/>
    <col min="10" max="10" width="20" customWidth="1"/>
  </cols>
  <sheetData>
    <row r="1" spans="2:10" x14ac:dyDescent="0.45">
      <c r="B1" t="s">
        <v>1921</v>
      </c>
      <c r="C1" t="s">
        <v>1920</v>
      </c>
      <c r="D1" t="s">
        <v>1918</v>
      </c>
      <c r="E1" t="s">
        <v>1919</v>
      </c>
    </row>
    <row r="2" spans="2:10" x14ac:dyDescent="0.45">
      <c r="B2" s="7" t="s">
        <v>1255</v>
      </c>
      <c r="C2" s="7" t="s">
        <v>1256</v>
      </c>
      <c r="D2" s="7" t="s">
        <v>475</v>
      </c>
      <c r="E2" s="8" t="s">
        <v>1831</v>
      </c>
      <c r="H2" s="7" t="s">
        <v>1255</v>
      </c>
      <c r="I2" s="7" t="s">
        <v>1256</v>
      </c>
      <c r="J2" s="7" t="s">
        <v>1922</v>
      </c>
    </row>
    <row r="3" spans="2:10" x14ac:dyDescent="0.45">
      <c r="B3" s="7" t="s">
        <v>1257</v>
      </c>
      <c r="C3" s="7" t="s">
        <v>1258</v>
      </c>
      <c r="D3" s="7" t="s">
        <v>475</v>
      </c>
      <c r="E3" s="8" t="s">
        <v>1832</v>
      </c>
      <c r="H3" s="7" t="s">
        <v>1257</v>
      </c>
      <c r="I3" s="7" t="s">
        <v>1258</v>
      </c>
      <c r="J3" s="7" t="s">
        <v>1922</v>
      </c>
    </row>
    <row r="4" spans="2:10" x14ac:dyDescent="0.45">
      <c r="B4" s="7" t="s">
        <v>1259</v>
      </c>
      <c r="C4" s="7" t="s">
        <v>1260</v>
      </c>
      <c r="D4" s="7" t="s">
        <v>475</v>
      </c>
      <c r="E4" s="8" t="s">
        <v>1833</v>
      </c>
      <c r="H4" s="7" t="s">
        <v>1259</v>
      </c>
      <c r="I4" s="7" t="s">
        <v>1260</v>
      </c>
      <c r="J4" s="7" t="s">
        <v>1923</v>
      </c>
    </row>
    <row r="5" spans="2:10" x14ac:dyDescent="0.45">
      <c r="B5" s="7" t="s">
        <v>1261</v>
      </c>
      <c r="C5" s="7" t="s">
        <v>1262</v>
      </c>
      <c r="D5" s="7" t="s">
        <v>475</v>
      </c>
      <c r="E5" s="8" t="s">
        <v>1834</v>
      </c>
      <c r="H5" s="7" t="s">
        <v>1261</v>
      </c>
      <c r="I5" s="7" t="s">
        <v>1262</v>
      </c>
      <c r="J5" s="7" t="s">
        <v>1922</v>
      </c>
    </row>
    <row r="6" spans="2:10" x14ac:dyDescent="0.45">
      <c r="B6" s="7" t="s">
        <v>1263</v>
      </c>
      <c r="C6" s="7" t="s">
        <v>1264</v>
      </c>
      <c r="D6" s="7" t="s">
        <v>475</v>
      </c>
      <c r="E6" s="8" t="s">
        <v>1835</v>
      </c>
      <c r="H6" s="7" t="s">
        <v>1263</v>
      </c>
      <c r="I6" s="7" t="s">
        <v>1264</v>
      </c>
      <c r="J6" s="7" t="s">
        <v>1922</v>
      </c>
    </row>
    <row r="7" spans="2:10" x14ac:dyDescent="0.45">
      <c r="B7" s="7" t="s">
        <v>1265</v>
      </c>
      <c r="C7" s="7" t="s">
        <v>1266</v>
      </c>
      <c r="D7" s="7" t="s">
        <v>475</v>
      </c>
      <c r="E7" s="8" t="s">
        <v>1836</v>
      </c>
      <c r="H7" s="7" t="s">
        <v>1265</v>
      </c>
      <c r="I7" s="7" t="s">
        <v>1266</v>
      </c>
      <c r="J7" s="7" t="s">
        <v>1924</v>
      </c>
    </row>
    <row r="8" spans="2:10" x14ac:dyDescent="0.45">
      <c r="B8" s="7" t="s">
        <v>1267</v>
      </c>
      <c r="C8" s="7" t="s">
        <v>1268</v>
      </c>
      <c r="D8" s="7" t="s">
        <v>475</v>
      </c>
      <c r="E8" s="8" t="s">
        <v>1837</v>
      </c>
      <c r="H8" s="7" t="s">
        <v>1267</v>
      </c>
      <c r="I8" s="7" t="s">
        <v>1268</v>
      </c>
      <c r="J8" s="7" t="s">
        <v>1924</v>
      </c>
    </row>
    <row r="9" spans="2:10" x14ac:dyDescent="0.45">
      <c r="B9" s="7" t="s">
        <v>1269</v>
      </c>
      <c r="C9" s="7" t="s">
        <v>1270</v>
      </c>
      <c r="D9" s="7" t="s">
        <v>475</v>
      </c>
      <c r="E9" s="8" t="s">
        <v>1838</v>
      </c>
      <c r="H9" s="7" t="s">
        <v>1269</v>
      </c>
      <c r="I9" s="7" t="s">
        <v>1270</v>
      </c>
      <c r="J9" s="7" t="s">
        <v>1925</v>
      </c>
    </row>
    <row r="10" spans="2:10" x14ac:dyDescent="0.45">
      <c r="B10" s="7" t="s">
        <v>1271</v>
      </c>
      <c r="C10" s="7" t="s">
        <v>1272</v>
      </c>
      <c r="D10" s="7" t="s">
        <v>475</v>
      </c>
      <c r="E10" s="8" t="s">
        <v>1839</v>
      </c>
      <c r="H10" s="7" t="s">
        <v>1271</v>
      </c>
      <c r="I10" s="7" t="s">
        <v>1272</v>
      </c>
      <c r="J10" s="7" t="s">
        <v>1922</v>
      </c>
    </row>
    <row r="11" spans="2:10" x14ac:dyDescent="0.45">
      <c r="B11" s="7" t="s">
        <v>1273</v>
      </c>
      <c r="C11" s="7" t="s">
        <v>1274</v>
      </c>
      <c r="D11" s="7" t="s">
        <v>475</v>
      </c>
      <c r="E11" s="8" t="s">
        <v>1840</v>
      </c>
      <c r="H11" s="7" t="s">
        <v>1273</v>
      </c>
      <c r="I11" s="7" t="s">
        <v>1274</v>
      </c>
      <c r="J11" s="7" t="s">
        <v>1922</v>
      </c>
    </row>
    <row r="12" spans="2:10" x14ac:dyDescent="0.45">
      <c r="B12" s="7" t="s">
        <v>1275</v>
      </c>
      <c r="C12" s="7" t="s">
        <v>1276</v>
      </c>
      <c r="D12" s="7" t="s">
        <v>475</v>
      </c>
      <c r="E12" s="8" t="s">
        <v>1837</v>
      </c>
      <c r="H12" s="7" t="s">
        <v>1275</v>
      </c>
      <c r="I12" s="7" t="s">
        <v>1276</v>
      </c>
      <c r="J12" s="7" t="s">
        <v>1923</v>
      </c>
    </row>
    <row r="13" spans="2:10" x14ac:dyDescent="0.45">
      <c r="B13" s="7" t="s">
        <v>1277</v>
      </c>
      <c r="C13" s="7" t="s">
        <v>1278</v>
      </c>
      <c r="D13" s="7" t="s">
        <v>475</v>
      </c>
      <c r="E13" s="8" t="s">
        <v>1841</v>
      </c>
      <c r="H13" s="7" t="s">
        <v>1277</v>
      </c>
      <c r="I13" s="7" t="s">
        <v>1278</v>
      </c>
      <c r="J13" s="7" t="s">
        <v>1926</v>
      </c>
    </row>
    <row r="14" spans="2:10" x14ac:dyDescent="0.45">
      <c r="B14" s="7" t="s">
        <v>1279</v>
      </c>
      <c r="C14" s="7" t="s">
        <v>1280</v>
      </c>
      <c r="D14" s="7" t="s">
        <v>475</v>
      </c>
      <c r="E14" s="8" t="s">
        <v>1842</v>
      </c>
      <c r="H14" s="7" t="s">
        <v>1279</v>
      </c>
      <c r="I14" s="7" t="s">
        <v>1280</v>
      </c>
      <c r="J14" s="7" t="s">
        <v>1923</v>
      </c>
    </row>
    <row r="15" spans="2:10" x14ac:dyDescent="0.45">
      <c r="B15" s="7" t="s">
        <v>1281</v>
      </c>
      <c r="C15" s="7" t="s">
        <v>1282</v>
      </c>
      <c r="D15" s="7" t="s">
        <v>475</v>
      </c>
      <c r="E15" s="8" t="s">
        <v>1843</v>
      </c>
      <c r="H15" s="7" t="s">
        <v>1281</v>
      </c>
      <c r="I15" s="7" t="s">
        <v>1282</v>
      </c>
      <c r="J15" s="7" t="s">
        <v>1924</v>
      </c>
    </row>
    <row r="16" spans="2:10" x14ac:dyDescent="0.45">
      <c r="B16" s="7" t="s">
        <v>1283</v>
      </c>
      <c r="C16" s="7" t="s">
        <v>1284</v>
      </c>
      <c r="D16" s="7" t="s">
        <v>475</v>
      </c>
      <c r="E16" s="8" t="s">
        <v>1844</v>
      </c>
      <c r="H16" s="7" t="s">
        <v>1283</v>
      </c>
      <c r="I16" s="7" t="s">
        <v>1284</v>
      </c>
      <c r="J16" s="7" t="s">
        <v>1922</v>
      </c>
    </row>
    <row r="17" spans="2:10" x14ac:dyDescent="0.45">
      <c r="B17" s="7" t="s">
        <v>1285</v>
      </c>
      <c r="C17" s="7" t="s">
        <v>1286</v>
      </c>
      <c r="D17" s="7" t="s">
        <v>475</v>
      </c>
      <c r="E17" s="8" t="s">
        <v>1845</v>
      </c>
      <c r="H17" s="7" t="s">
        <v>1285</v>
      </c>
      <c r="I17" s="7" t="s">
        <v>1286</v>
      </c>
      <c r="J17" s="7" t="s">
        <v>1924</v>
      </c>
    </row>
    <row r="18" spans="2:10" x14ac:dyDescent="0.45">
      <c r="B18" s="7" t="s">
        <v>1287</v>
      </c>
      <c r="C18" s="7" t="s">
        <v>1288</v>
      </c>
      <c r="D18" s="7" t="s">
        <v>475</v>
      </c>
      <c r="E18" s="8" t="s">
        <v>1846</v>
      </c>
      <c r="H18" s="7" t="s">
        <v>1287</v>
      </c>
      <c r="I18" s="7" t="s">
        <v>1288</v>
      </c>
      <c r="J18" s="7" t="s">
        <v>1924</v>
      </c>
    </row>
    <row r="19" spans="2:10" x14ac:dyDescent="0.45">
      <c r="B19" s="7" t="s">
        <v>1289</v>
      </c>
      <c r="C19" s="7" t="s">
        <v>1290</v>
      </c>
      <c r="D19" s="7" t="s">
        <v>475</v>
      </c>
      <c r="E19" s="8" t="s">
        <v>1846</v>
      </c>
      <c r="H19" s="7" t="s">
        <v>1289</v>
      </c>
      <c r="I19" s="7" t="s">
        <v>1290</v>
      </c>
      <c r="J19" s="7" t="s">
        <v>1922</v>
      </c>
    </row>
    <row r="20" spans="2:10" x14ac:dyDescent="0.45">
      <c r="B20" s="7" t="s">
        <v>1291</v>
      </c>
      <c r="C20" s="7" t="s">
        <v>1292</v>
      </c>
      <c r="D20" s="7" t="s">
        <v>475</v>
      </c>
      <c r="E20" s="8" t="s">
        <v>1846</v>
      </c>
      <c r="H20" s="7" t="s">
        <v>1291</v>
      </c>
      <c r="I20" s="7" t="s">
        <v>1292</v>
      </c>
      <c r="J20" s="7" t="s">
        <v>1924</v>
      </c>
    </row>
    <row r="21" spans="2:10" x14ac:dyDescent="0.45">
      <c r="B21" s="7" t="s">
        <v>1293</v>
      </c>
      <c r="C21" s="7" t="s">
        <v>1294</v>
      </c>
      <c r="D21" s="7" t="s">
        <v>475</v>
      </c>
      <c r="E21" s="8" t="s">
        <v>1847</v>
      </c>
      <c r="H21" s="7" t="s">
        <v>1293</v>
      </c>
      <c r="I21" s="7" t="s">
        <v>1294</v>
      </c>
      <c r="J21" s="7" t="s">
        <v>1922</v>
      </c>
    </row>
    <row r="22" spans="2:10" x14ac:dyDescent="0.45">
      <c r="B22" s="7" t="s">
        <v>1295</v>
      </c>
      <c r="C22" s="7" t="s">
        <v>1296</v>
      </c>
      <c r="D22" s="7" t="s">
        <v>475</v>
      </c>
      <c r="E22" s="8" t="s">
        <v>1848</v>
      </c>
      <c r="H22" s="7" t="s">
        <v>1295</v>
      </c>
      <c r="I22" s="7" t="s">
        <v>1296</v>
      </c>
      <c r="J22" s="7" t="s">
        <v>1927</v>
      </c>
    </row>
    <row r="23" spans="2:10" x14ac:dyDescent="0.45">
      <c r="B23" s="7" t="s">
        <v>1297</v>
      </c>
      <c r="C23" s="7" t="s">
        <v>1298</v>
      </c>
      <c r="D23" s="7" t="s">
        <v>475</v>
      </c>
      <c r="E23" s="8" t="s">
        <v>1849</v>
      </c>
      <c r="H23" s="7" t="s">
        <v>1297</v>
      </c>
      <c r="I23" s="7" t="s">
        <v>1298</v>
      </c>
      <c r="J23" s="7" t="s">
        <v>1927</v>
      </c>
    </row>
    <row r="24" spans="2:10" x14ac:dyDescent="0.45">
      <c r="B24" s="7" t="s">
        <v>1299</v>
      </c>
      <c r="C24" s="7" t="s">
        <v>1300</v>
      </c>
      <c r="D24" s="7" t="s">
        <v>475</v>
      </c>
      <c r="E24" s="8" t="s">
        <v>1849</v>
      </c>
      <c r="H24" s="7" t="s">
        <v>1299</v>
      </c>
      <c r="I24" s="7" t="s">
        <v>1300</v>
      </c>
      <c r="J24" s="7" t="s">
        <v>1928</v>
      </c>
    </row>
    <row r="25" spans="2:10" x14ac:dyDescent="0.45">
      <c r="B25" s="7" t="s">
        <v>1301</v>
      </c>
      <c r="C25" s="7" t="s">
        <v>1302</v>
      </c>
      <c r="D25" s="7" t="s">
        <v>475</v>
      </c>
      <c r="E25" s="8" t="s">
        <v>1849</v>
      </c>
      <c r="H25" s="7" t="s">
        <v>1301</v>
      </c>
      <c r="I25" s="7" t="s">
        <v>1302</v>
      </c>
      <c r="J25" s="7" t="s">
        <v>1924</v>
      </c>
    </row>
    <row r="26" spans="2:10" x14ac:dyDescent="0.45">
      <c r="B26" s="7" t="s">
        <v>1303</v>
      </c>
      <c r="C26" s="7" t="s">
        <v>1304</v>
      </c>
      <c r="D26" s="7" t="s">
        <v>475</v>
      </c>
      <c r="E26" s="8" t="s">
        <v>1849</v>
      </c>
      <c r="H26" s="7" t="s">
        <v>1303</v>
      </c>
      <c r="I26" s="7" t="s">
        <v>1304</v>
      </c>
      <c r="J26" s="7" t="s">
        <v>1924</v>
      </c>
    </row>
    <row r="27" spans="2:10" x14ac:dyDescent="0.45">
      <c r="B27" s="7" t="s">
        <v>1305</v>
      </c>
      <c r="C27" s="7" t="s">
        <v>1306</v>
      </c>
      <c r="D27" s="7" t="s">
        <v>475</v>
      </c>
      <c r="E27" s="8" t="s">
        <v>1850</v>
      </c>
      <c r="H27" s="7" t="s">
        <v>1305</v>
      </c>
      <c r="I27" s="7" t="s">
        <v>1306</v>
      </c>
      <c r="J27" s="7" t="s">
        <v>1928</v>
      </c>
    </row>
    <row r="28" spans="2:10" x14ac:dyDescent="0.45">
      <c r="B28" s="7" t="s">
        <v>1307</v>
      </c>
      <c r="C28" s="7" t="s">
        <v>1308</v>
      </c>
      <c r="D28" s="7" t="s">
        <v>475</v>
      </c>
      <c r="E28" s="8" t="s">
        <v>1851</v>
      </c>
      <c r="H28" s="7" t="s">
        <v>1307</v>
      </c>
      <c r="I28" s="7" t="s">
        <v>1308</v>
      </c>
      <c r="J28" s="7" t="s">
        <v>1929</v>
      </c>
    </row>
    <row r="29" spans="2:10" x14ac:dyDescent="0.45">
      <c r="B29" s="7" t="s">
        <v>1309</v>
      </c>
      <c r="C29" s="7" t="s">
        <v>1310</v>
      </c>
      <c r="D29" s="7" t="s">
        <v>475</v>
      </c>
      <c r="E29" s="8" t="s">
        <v>1852</v>
      </c>
      <c r="H29" s="7" t="s">
        <v>1309</v>
      </c>
      <c r="I29" s="7" t="s">
        <v>1310</v>
      </c>
      <c r="J29" s="7" t="s">
        <v>1924</v>
      </c>
    </row>
    <row r="30" spans="2:10" x14ac:dyDescent="0.45">
      <c r="B30" s="7" t="s">
        <v>1311</v>
      </c>
      <c r="C30" s="7" t="s">
        <v>1312</v>
      </c>
      <c r="D30" s="7" t="s">
        <v>475</v>
      </c>
      <c r="E30" s="8" t="s">
        <v>1843</v>
      </c>
      <c r="H30" s="7" t="s">
        <v>1311</v>
      </c>
      <c r="I30" s="7" t="s">
        <v>1312</v>
      </c>
      <c r="J30" s="7" t="s">
        <v>1924</v>
      </c>
    </row>
    <row r="31" spans="2:10" x14ac:dyDescent="0.45">
      <c r="B31" s="7" t="s">
        <v>1313</v>
      </c>
      <c r="C31" s="7" t="s">
        <v>1314</v>
      </c>
      <c r="D31" s="7" t="s">
        <v>475</v>
      </c>
      <c r="E31" s="8" t="s">
        <v>1853</v>
      </c>
      <c r="H31" s="7" t="s">
        <v>1313</v>
      </c>
      <c r="I31" s="7" t="s">
        <v>1314</v>
      </c>
      <c r="J31" s="7" t="s">
        <v>1924</v>
      </c>
    </row>
    <row r="32" spans="2:10" x14ac:dyDescent="0.45">
      <c r="B32" s="7" t="s">
        <v>1315</v>
      </c>
      <c r="C32" s="7" t="s">
        <v>1316</v>
      </c>
      <c r="D32" s="7" t="s">
        <v>475</v>
      </c>
      <c r="E32" s="8" t="s">
        <v>1854</v>
      </c>
      <c r="H32" s="7" t="s">
        <v>1315</v>
      </c>
      <c r="I32" s="7" t="s">
        <v>1316</v>
      </c>
      <c r="J32" s="7" t="s">
        <v>1924</v>
      </c>
    </row>
    <row r="33" spans="2:10" x14ac:dyDescent="0.45">
      <c r="B33" s="7" t="s">
        <v>1317</v>
      </c>
      <c r="C33" s="7" t="s">
        <v>1318</v>
      </c>
      <c r="D33" s="7" t="s">
        <v>475</v>
      </c>
      <c r="E33" s="8" t="s">
        <v>1854</v>
      </c>
      <c r="H33" s="7" t="s">
        <v>1317</v>
      </c>
      <c r="I33" s="7" t="s">
        <v>1318</v>
      </c>
      <c r="J33" s="7" t="s">
        <v>1924</v>
      </c>
    </row>
    <row r="34" spans="2:10" x14ac:dyDescent="0.45">
      <c r="B34" s="7" t="s">
        <v>1319</v>
      </c>
      <c r="C34" s="7" t="s">
        <v>1320</v>
      </c>
      <c r="D34" s="7" t="s">
        <v>475</v>
      </c>
      <c r="E34" s="8" t="s">
        <v>1855</v>
      </c>
      <c r="H34" s="7" t="s">
        <v>1319</v>
      </c>
      <c r="I34" s="7" t="s">
        <v>1320</v>
      </c>
      <c r="J34" s="7" t="s">
        <v>1924</v>
      </c>
    </row>
    <row r="35" spans="2:10" x14ac:dyDescent="0.45">
      <c r="B35" s="7" t="s">
        <v>1321</v>
      </c>
      <c r="C35" s="7" t="s">
        <v>1322</v>
      </c>
      <c r="D35" s="7" t="s">
        <v>475</v>
      </c>
      <c r="E35" s="8" t="s">
        <v>1856</v>
      </c>
      <c r="H35" s="7" t="s">
        <v>1321</v>
      </c>
      <c r="I35" s="7" t="s">
        <v>1322</v>
      </c>
      <c r="J35" s="7" t="s">
        <v>1922</v>
      </c>
    </row>
    <row r="36" spans="2:10" x14ac:dyDescent="0.45">
      <c r="B36" s="7" t="s">
        <v>1323</v>
      </c>
      <c r="C36" s="7" t="s">
        <v>1324</v>
      </c>
      <c r="D36" s="7" t="s">
        <v>475</v>
      </c>
      <c r="E36" s="8" t="s">
        <v>1857</v>
      </c>
      <c r="H36" s="7" t="s">
        <v>1323</v>
      </c>
      <c r="I36" s="7" t="s">
        <v>1324</v>
      </c>
      <c r="J36" s="7" t="s">
        <v>1922</v>
      </c>
    </row>
    <row r="37" spans="2:10" x14ac:dyDescent="0.45">
      <c r="B37" s="7" t="s">
        <v>1325</v>
      </c>
      <c r="C37" s="7" t="s">
        <v>1326</v>
      </c>
      <c r="D37" s="7" t="s">
        <v>475</v>
      </c>
      <c r="E37" s="8" t="s">
        <v>1858</v>
      </c>
      <c r="H37" s="7" t="s">
        <v>1325</v>
      </c>
      <c r="I37" s="7" t="s">
        <v>1326</v>
      </c>
      <c r="J37" s="7" t="s">
        <v>1924</v>
      </c>
    </row>
    <row r="38" spans="2:10" x14ac:dyDescent="0.45">
      <c r="B38" s="7" t="s">
        <v>1327</v>
      </c>
      <c r="C38" s="7" t="s">
        <v>1328</v>
      </c>
      <c r="D38" s="7" t="s">
        <v>475</v>
      </c>
      <c r="E38" s="8" t="s">
        <v>1859</v>
      </c>
      <c r="H38" s="7" t="s">
        <v>1327</v>
      </c>
      <c r="I38" s="7" t="s">
        <v>1328</v>
      </c>
      <c r="J38" s="7" t="s">
        <v>1924</v>
      </c>
    </row>
    <row r="39" spans="2:10" x14ac:dyDescent="0.45">
      <c r="B39" s="7" t="s">
        <v>1329</v>
      </c>
      <c r="C39" s="7" t="s">
        <v>1330</v>
      </c>
      <c r="D39" s="7" t="s">
        <v>475</v>
      </c>
      <c r="E39" s="8" t="s">
        <v>1860</v>
      </c>
      <c r="H39" s="7" t="s">
        <v>1329</v>
      </c>
      <c r="I39" s="7" t="s">
        <v>1330</v>
      </c>
      <c r="J39" s="7" t="s">
        <v>1928</v>
      </c>
    </row>
    <row r="40" spans="2:10" x14ac:dyDescent="0.45">
      <c r="B40" s="7" t="s">
        <v>1331</v>
      </c>
      <c r="C40" s="7" t="s">
        <v>1332</v>
      </c>
      <c r="D40" s="7" t="s">
        <v>475</v>
      </c>
      <c r="E40" s="8" t="s">
        <v>1857</v>
      </c>
      <c r="H40" s="7" t="s">
        <v>1331</v>
      </c>
      <c r="I40" s="7" t="s">
        <v>1332</v>
      </c>
      <c r="J40" s="7" t="s">
        <v>1929</v>
      </c>
    </row>
    <row r="41" spans="2:10" x14ac:dyDescent="0.45">
      <c r="B41" s="7" t="s">
        <v>1333</v>
      </c>
      <c r="C41" s="7" t="s">
        <v>1334</v>
      </c>
      <c r="D41" s="7" t="s">
        <v>475</v>
      </c>
      <c r="E41" s="8" t="s">
        <v>1861</v>
      </c>
      <c r="H41" s="7" t="s">
        <v>1333</v>
      </c>
      <c r="I41" s="7" t="s">
        <v>1334</v>
      </c>
      <c r="J41" s="7" t="s">
        <v>1922</v>
      </c>
    </row>
    <row r="42" spans="2:10" x14ac:dyDescent="0.45">
      <c r="B42" s="7" t="s">
        <v>847</v>
      </c>
      <c r="C42" s="7" t="s">
        <v>1335</v>
      </c>
      <c r="D42" s="7" t="s">
        <v>1830</v>
      </c>
      <c r="E42" s="8" t="s">
        <v>1862</v>
      </c>
      <c r="H42" s="7" t="s">
        <v>847</v>
      </c>
      <c r="I42" s="7" t="s">
        <v>1335</v>
      </c>
      <c r="J42" s="7" t="s">
        <v>1926</v>
      </c>
    </row>
    <row r="43" spans="2:10" x14ac:dyDescent="0.45">
      <c r="B43" s="7" t="s">
        <v>1336</v>
      </c>
      <c r="C43" s="7" t="s">
        <v>1337</v>
      </c>
      <c r="D43" s="7" t="s">
        <v>1830</v>
      </c>
      <c r="E43" s="8" t="s">
        <v>1863</v>
      </c>
      <c r="H43" s="7" t="s">
        <v>1336</v>
      </c>
      <c r="I43" s="7" t="s">
        <v>1337</v>
      </c>
      <c r="J43" s="7" t="s">
        <v>1926</v>
      </c>
    </row>
    <row r="44" spans="2:10" x14ac:dyDescent="0.45">
      <c r="B44" s="7" t="s">
        <v>1338</v>
      </c>
      <c r="C44" s="7" t="s">
        <v>1339</v>
      </c>
      <c r="D44" s="7" t="s">
        <v>1830</v>
      </c>
      <c r="E44" s="8" t="s">
        <v>1864</v>
      </c>
      <c r="H44" s="7" t="s">
        <v>1338</v>
      </c>
      <c r="I44" s="7" t="s">
        <v>1339</v>
      </c>
      <c r="J44" s="7" t="s">
        <v>1929</v>
      </c>
    </row>
    <row r="45" spans="2:10" x14ac:dyDescent="0.45">
      <c r="B45" s="7" t="s">
        <v>1340</v>
      </c>
      <c r="C45" s="7" t="s">
        <v>1341</v>
      </c>
      <c r="D45" s="7" t="s">
        <v>1830</v>
      </c>
      <c r="E45" s="8" t="s">
        <v>1865</v>
      </c>
      <c r="H45" s="7" t="s">
        <v>1340</v>
      </c>
      <c r="I45" s="7" t="s">
        <v>1341</v>
      </c>
      <c r="J45" s="7" t="s">
        <v>1923</v>
      </c>
    </row>
    <row r="46" spans="2:10" x14ac:dyDescent="0.45">
      <c r="B46" s="7" t="s">
        <v>770</v>
      </c>
      <c r="C46" s="7" t="s">
        <v>1342</v>
      </c>
      <c r="D46" s="7" t="s">
        <v>1830</v>
      </c>
      <c r="E46" s="8" t="s">
        <v>1865</v>
      </c>
      <c r="H46" s="7" t="s">
        <v>770</v>
      </c>
      <c r="I46" s="7" t="s">
        <v>1342</v>
      </c>
      <c r="J46" s="7" t="s">
        <v>1922</v>
      </c>
    </row>
    <row r="47" spans="2:10" x14ac:dyDescent="0.45">
      <c r="B47" s="7" t="s">
        <v>1343</v>
      </c>
      <c r="C47" s="7" t="s">
        <v>1344</v>
      </c>
      <c r="D47" s="7" t="s">
        <v>1830</v>
      </c>
      <c r="E47" s="8" t="s">
        <v>1860</v>
      </c>
      <c r="H47" s="7" t="s">
        <v>1343</v>
      </c>
      <c r="I47" s="7" t="s">
        <v>1344</v>
      </c>
      <c r="J47" s="7" t="s">
        <v>1928</v>
      </c>
    </row>
    <row r="48" spans="2:10" x14ac:dyDescent="0.45">
      <c r="B48" s="7" t="s">
        <v>1345</v>
      </c>
      <c r="C48" s="7" t="s">
        <v>1346</v>
      </c>
      <c r="D48" s="7" t="s">
        <v>1830</v>
      </c>
      <c r="E48" s="8" t="s">
        <v>1860</v>
      </c>
      <c r="H48" s="7" t="s">
        <v>1345</v>
      </c>
      <c r="I48" s="7" t="s">
        <v>1346</v>
      </c>
      <c r="J48" s="7" t="s">
        <v>1923</v>
      </c>
    </row>
    <row r="49" spans="2:10" x14ac:dyDescent="0.45">
      <c r="B49" s="7" t="s">
        <v>1347</v>
      </c>
      <c r="C49" s="7" t="s">
        <v>1348</v>
      </c>
      <c r="D49" s="7" t="s">
        <v>8</v>
      </c>
      <c r="E49" s="8" t="s">
        <v>1866</v>
      </c>
      <c r="H49" s="7" t="s">
        <v>1347</v>
      </c>
      <c r="I49" s="7" t="s">
        <v>1348</v>
      </c>
      <c r="J49" s="7" t="s">
        <v>1928</v>
      </c>
    </row>
    <row r="50" spans="2:10" x14ac:dyDescent="0.45">
      <c r="B50" s="7" t="s">
        <v>1349</v>
      </c>
      <c r="C50" s="7" t="s">
        <v>1350</v>
      </c>
      <c r="D50" s="7" t="s">
        <v>8</v>
      </c>
      <c r="E50" s="8" t="s">
        <v>1867</v>
      </c>
      <c r="H50" s="7" t="s">
        <v>1349</v>
      </c>
      <c r="I50" s="7" t="s">
        <v>1350</v>
      </c>
      <c r="J50" s="7" t="s">
        <v>1922</v>
      </c>
    </row>
    <row r="51" spans="2:10" x14ac:dyDescent="0.45">
      <c r="B51" s="7" t="s">
        <v>1351</v>
      </c>
      <c r="C51" s="7" t="s">
        <v>1352</v>
      </c>
      <c r="D51" s="7" t="s">
        <v>8</v>
      </c>
      <c r="E51" s="8" t="s">
        <v>1868</v>
      </c>
      <c r="H51" s="7" t="s">
        <v>1351</v>
      </c>
      <c r="I51" s="7" t="s">
        <v>1352</v>
      </c>
      <c r="J51" s="7" t="s">
        <v>1924</v>
      </c>
    </row>
    <row r="52" spans="2:10" x14ac:dyDescent="0.45">
      <c r="B52" s="7" t="s">
        <v>1353</v>
      </c>
      <c r="C52" s="7" t="s">
        <v>1354</v>
      </c>
      <c r="D52" s="7" t="s">
        <v>8</v>
      </c>
      <c r="E52" s="8" t="s">
        <v>1869</v>
      </c>
      <c r="H52" s="7" t="s">
        <v>1353</v>
      </c>
      <c r="I52" s="7" t="s">
        <v>1354</v>
      </c>
      <c r="J52" s="7" t="s">
        <v>1924</v>
      </c>
    </row>
    <row r="53" spans="2:10" x14ac:dyDescent="0.45">
      <c r="B53" s="7" t="s">
        <v>1355</v>
      </c>
      <c r="C53" s="7" t="s">
        <v>1356</v>
      </c>
      <c r="D53" s="7" t="s">
        <v>8</v>
      </c>
      <c r="E53" s="8" t="s">
        <v>1870</v>
      </c>
      <c r="H53" s="7" t="s">
        <v>1355</v>
      </c>
      <c r="I53" s="7" t="s">
        <v>1356</v>
      </c>
      <c r="J53" s="7" t="s">
        <v>1922</v>
      </c>
    </row>
    <row r="54" spans="2:10" x14ac:dyDescent="0.45">
      <c r="B54" s="7" t="s">
        <v>1357</v>
      </c>
      <c r="C54" s="7" t="s">
        <v>1358</v>
      </c>
      <c r="D54" s="7" t="s">
        <v>8</v>
      </c>
      <c r="E54" s="8" t="s">
        <v>1871</v>
      </c>
      <c r="H54" s="7" t="s">
        <v>1357</v>
      </c>
      <c r="I54" s="7" t="s">
        <v>1358</v>
      </c>
      <c r="J54" s="7" t="s">
        <v>1922</v>
      </c>
    </row>
    <row r="55" spans="2:10" x14ac:dyDescent="0.45">
      <c r="B55" s="7" t="s">
        <v>1359</v>
      </c>
      <c r="C55" s="7" t="s">
        <v>1360</v>
      </c>
      <c r="D55" s="7" t="s">
        <v>8</v>
      </c>
      <c r="E55" s="8" t="s">
        <v>1837</v>
      </c>
      <c r="H55" s="7" t="s">
        <v>1359</v>
      </c>
      <c r="I55" s="7" t="s">
        <v>1360</v>
      </c>
      <c r="J55" s="7" t="s">
        <v>1922</v>
      </c>
    </row>
    <row r="56" spans="2:10" x14ac:dyDescent="0.45">
      <c r="B56" s="7" t="s">
        <v>1361</v>
      </c>
      <c r="C56" s="7" t="s">
        <v>1362</v>
      </c>
      <c r="D56" s="7" t="s">
        <v>8</v>
      </c>
      <c r="E56" s="8" t="s">
        <v>1872</v>
      </c>
      <c r="H56" s="7" t="s">
        <v>1361</v>
      </c>
      <c r="I56" s="7" t="s">
        <v>1362</v>
      </c>
      <c r="J56" s="7" t="s">
        <v>1924</v>
      </c>
    </row>
    <row r="57" spans="2:10" x14ac:dyDescent="0.45">
      <c r="B57" s="7" t="s">
        <v>1363</v>
      </c>
      <c r="C57" s="7" t="s">
        <v>1364</v>
      </c>
      <c r="D57" s="7" t="s">
        <v>8</v>
      </c>
      <c r="E57" s="8" t="s">
        <v>1873</v>
      </c>
      <c r="H57" s="7" t="s">
        <v>1363</v>
      </c>
      <c r="I57" s="7" t="s">
        <v>1364</v>
      </c>
      <c r="J57" s="7" t="s">
        <v>1922</v>
      </c>
    </row>
    <row r="58" spans="2:10" x14ac:dyDescent="0.45">
      <c r="B58" s="7" t="s">
        <v>1365</v>
      </c>
      <c r="C58" s="7" t="s">
        <v>1366</v>
      </c>
      <c r="D58" s="7" t="s">
        <v>8</v>
      </c>
      <c r="E58" s="8" t="s">
        <v>1874</v>
      </c>
      <c r="H58" s="7" t="s">
        <v>1365</v>
      </c>
      <c r="I58" s="7" t="s">
        <v>1366</v>
      </c>
      <c r="J58" s="7" t="s">
        <v>1928</v>
      </c>
    </row>
    <row r="59" spans="2:10" x14ac:dyDescent="0.45">
      <c r="B59" s="7" t="s">
        <v>1367</v>
      </c>
      <c r="C59" s="7" t="s">
        <v>1368</v>
      </c>
      <c r="D59" s="7" t="s">
        <v>8</v>
      </c>
      <c r="E59" s="8" t="s">
        <v>1856</v>
      </c>
      <c r="H59" s="7" t="s">
        <v>1367</v>
      </c>
      <c r="I59" s="7" t="s">
        <v>1368</v>
      </c>
      <c r="J59" s="7" t="s">
        <v>1922</v>
      </c>
    </row>
    <row r="60" spans="2:10" x14ac:dyDescent="0.45">
      <c r="B60" s="7" t="s">
        <v>1369</v>
      </c>
      <c r="C60" s="7" t="s">
        <v>1370</v>
      </c>
      <c r="D60" s="7" t="s">
        <v>8</v>
      </c>
      <c r="E60" s="8" t="s">
        <v>1841</v>
      </c>
      <c r="H60" s="7" t="s">
        <v>1369</v>
      </c>
      <c r="I60" s="7" t="s">
        <v>1370</v>
      </c>
      <c r="J60" s="7" t="s">
        <v>1924</v>
      </c>
    </row>
    <row r="61" spans="2:10" x14ac:dyDescent="0.45">
      <c r="B61" s="7" t="s">
        <v>1371</v>
      </c>
      <c r="C61" s="7" t="s">
        <v>1372</v>
      </c>
      <c r="D61" s="7" t="s">
        <v>8</v>
      </c>
      <c r="E61" s="8" t="s">
        <v>1853</v>
      </c>
      <c r="H61" s="7" t="s">
        <v>1371</v>
      </c>
      <c r="I61" s="7" t="s">
        <v>1372</v>
      </c>
      <c r="J61" s="7" t="s">
        <v>1922</v>
      </c>
    </row>
    <row r="62" spans="2:10" x14ac:dyDescent="0.45">
      <c r="B62" s="7" t="s">
        <v>1373</v>
      </c>
      <c r="C62" s="7" t="s">
        <v>1374</v>
      </c>
      <c r="D62" s="7" t="s">
        <v>8</v>
      </c>
      <c r="E62" s="8" t="s">
        <v>1853</v>
      </c>
      <c r="H62" s="7" t="s">
        <v>1373</v>
      </c>
      <c r="I62" s="7" t="s">
        <v>1374</v>
      </c>
      <c r="J62" s="7" t="s">
        <v>1924</v>
      </c>
    </row>
    <row r="63" spans="2:10" x14ac:dyDescent="0.45">
      <c r="B63" s="7" t="s">
        <v>1375</v>
      </c>
      <c r="C63" s="7" t="s">
        <v>1376</v>
      </c>
      <c r="D63" s="7" t="s">
        <v>8</v>
      </c>
      <c r="E63" s="8" t="s">
        <v>1853</v>
      </c>
      <c r="H63" s="7" t="s">
        <v>1375</v>
      </c>
      <c r="I63" s="7" t="s">
        <v>1376</v>
      </c>
      <c r="J63" s="7" t="s">
        <v>1923</v>
      </c>
    </row>
    <row r="64" spans="2:10" x14ac:dyDescent="0.45">
      <c r="B64" s="7" t="s">
        <v>1377</v>
      </c>
      <c r="C64" s="7" t="s">
        <v>1378</v>
      </c>
      <c r="D64" s="7" t="s">
        <v>8</v>
      </c>
      <c r="E64" s="8" t="s">
        <v>1853</v>
      </c>
      <c r="H64" s="7" t="s">
        <v>1377</v>
      </c>
      <c r="I64" s="7" t="s">
        <v>1378</v>
      </c>
      <c r="J64" s="7" t="s">
        <v>1922</v>
      </c>
    </row>
    <row r="65" spans="2:10" x14ac:dyDescent="0.45">
      <c r="B65" s="7" t="s">
        <v>1379</v>
      </c>
      <c r="C65" s="7" t="s">
        <v>1380</v>
      </c>
      <c r="D65" s="7" t="s">
        <v>8</v>
      </c>
      <c r="E65" s="8" t="s">
        <v>1853</v>
      </c>
      <c r="H65" s="7" t="s">
        <v>1379</v>
      </c>
      <c r="I65" s="7" t="s">
        <v>1380</v>
      </c>
      <c r="J65" s="7" t="s">
        <v>1922</v>
      </c>
    </row>
    <row r="66" spans="2:10" x14ac:dyDescent="0.45">
      <c r="B66" s="7" t="s">
        <v>1381</v>
      </c>
      <c r="C66" s="7" t="s">
        <v>1382</v>
      </c>
      <c r="D66" s="7" t="s">
        <v>8</v>
      </c>
      <c r="E66" s="8" t="s">
        <v>1875</v>
      </c>
      <c r="H66" s="7" t="s">
        <v>1381</v>
      </c>
      <c r="I66" s="7" t="s">
        <v>1382</v>
      </c>
      <c r="J66" s="7" t="s">
        <v>1924</v>
      </c>
    </row>
    <row r="67" spans="2:10" x14ac:dyDescent="0.45">
      <c r="B67" s="7" t="s">
        <v>1383</v>
      </c>
      <c r="C67" s="7" t="s">
        <v>1384</v>
      </c>
      <c r="D67" s="7" t="s">
        <v>8</v>
      </c>
      <c r="E67" s="8" t="s">
        <v>1875</v>
      </c>
      <c r="H67" s="7" t="s">
        <v>1383</v>
      </c>
      <c r="I67" s="7" t="s">
        <v>1384</v>
      </c>
      <c r="J67" s="7" t="s">
        <v>1926</v>
      </c>
    </row>
    <row r="68" spans="2:10" x14ac:dyDescent="0.45">
      <c r="B68" s="7" t="s">
        <v>1385</v>
      </c>
      <c r="C68" s="7" t="s">
        <v>1386</v>
      </c>
      <c r="D68" s="7" t="s">
        <v>8</v>
      </c>
      <c r="E68" s="8" t="s">
        <v>1859</v>
      </c>
      <c r="H68" s="7" t="s">
        <v>1385</v>
      </c>
      <c r="I68" s="7" t="s">
        <v>1386</v>
      </c>
      <c r="J68" s="7" t="s">
        <v>1924</v>
      </c>
    </row>
    <row r="69" spans="2:10" x14ac:dyDescent="0.45">
      <c r="B69" s="7" t="s">
        <v>1387</v>
      </c>
      <c r="C69" s="7" t="s">
        <v>1388</v>
      </c>
      <c r="D69" s="7" t="s">
        <v>8</v>
      </c>
      <c r="E69" s="8" t="s">
        <v>1859</v>
      </c>
      <c r="H69" s="7" t="s">
        <v>1387</v>
      </c>
      <c r="I69" s="7" t="s">
        <v>1388</v>
      </c>
      <c r="J69" s="7" t="s">
        <v>1922</v>
      </c>
    </row>
    <row r="70" spans="2:10" x14ac:dyDescent="0.45">
      <c r="B70" s="7" t="s">
        <v>1389</v>
      </c>
      <c r="C70" s="7" t="s">
        <v>1390</v>
      </c>
      <c r="D70" s="7" t="s">
        <v>8</v>
      </c>
      <c r="E70" s="8" t="s">
        <v>1876</v>
      </c>
      <c r="H70" s="7" t="s">
        <v>1389</v>
      </c>
      <c r="I70" s="7" t="s">
        <v>1390</v>
      </c>
      <c r="J70" s="7" t="s">
        <v>1924</v>
      </c>
    </row>
    <row r="71" spans="2:10" x14ac:dyDescent="0.45">
      <c r="B71" s="7" t="s">
        <v>1391</v>
      </c>
      <c r="C71" s="7" t="s">
        <v>1392</v>
      </c>
      <c r="D71" s="7" t="s">
        <v>8</v>
      </c>
      <c r="E71" s="8" t="s">
        <v>1875</v>
      </c>
      <c r="H71" s="7" t="s">
        <v>1391</v>
      </c>
      <c r="I71" s="7" t="s">
        <v>1392</v>
      </c>
      <c r="J71" s="7" t="s">
        <v>1925</v>
      </c>
    </row>
    <row r="72" spans="2:10" x14ac:dyDescent="0.45">
      <c r="B72" s="7" t="s">
        <v>1393</v>
      </c>
      <c r="C72" s="7" t="s">
        <v>1394</v>
      </c>
      <c r="D72" s="7" t="s">
        <v>8</v>
      </c>
      <c r="E72" s="8" t="s">
        <v>1844</v>
      </c>
      <c r="H72" s="7" t="s">
        <v>1393</v>
      </c>
      <c r="I72" s="7" t="s">
        <v>1394</v>
      </c>
      <c r="J72" s="7" t="s">
        <v>1930</v>
      </c>
    </row>
    <row r="73" spans="2:10" x14ac:dyDescent="0.45">
      <c r="B73" s="7" t="s">
        <v>1395</v>
      </c>
      <c r="C73" s="7" t="s">
        <v>1396</v>
      </c>
      <c r="D73" s="7" t="s">
        <v>8</v>
      </c>
      <c r="E73" s="8" t="s">
        <v>1844</v>
      </c>
      <c r="H73" s="7" t="s">
        <v>1395</v>
      </c>
      <c r="I73" s="7" t="s">
        <v>1396</v>
      </c>
      <c r="J73" s="7" t="s">
        <v>1927</v>
      </c>
    </row>
    <row r="74" spans="2:10" x14ac:dyDescent="0.45">
      <c r="B74" s="7" t="s">
        <v>1397</v>
      </c>
      <c r="C74" s="7" t="s">
        <v>1398</v>
      </c>
      <c r="D74" s="7" t="s">
        <v>8</v>
      </c>
      <c r="E74" s="8" t="s">
        <v>1847</v>
      </c>
      <c r="H74" s="7" t="s">
        <v>1397</v>
      </c>
      <c r="I74" s="7" t="s">
        <v>1398</v>
      </c>
      <c r="J74" s="7" t="s">
        <v>1924</v>
      </c>
    </row>
    <row r="75" spans="2:10" x14ac:dyDescent="0.45">
      <c r="B75" s="7" t="s">
        <v>1399</v>
      </c>
      <c r="C75" s="7" t="s">
        <v>1400</v>
      </c>
      <c r="D75" s="7" t="s">
        <v>8</v>
      </c>
      <c r="E75" s="8" t="s">
        <v>1848</v>
      </c>
      <c r="H75" s="7" t="s">
        <v>1399</v>
      </c>
      <c r="I75" s="7" t="s">
        <v>1400</v>
      </c>
      <c r="J75" s="7" t="s">
        <v>1924</v>
      </c>
    </row>
    <row r="76" spans="2:10" x14ac:dyDescent="0.45">
      <c r="B76" s="7" t="s">
        <v>1401</v>
      </c>
      <c r="C76" s="7" t="s">
        <v>1402</v>
      </c>
      <c r="D76" s="7" t="s">
        <v>8</v>
      </c>
      <c r="E76" s="8" t="s">
        <v>1849</v>
      </c>
      <c r="H76" s="7" t="s">
        <v>1401</v>
      </c>
      <c r="I76" s="7" t="s">
        <v>1402</v>
      </c>
      <c r="J76" s="7" t="s">
        <v>1922</v>
      </c>
    </row>
    <row r="77" spans="2:10" x14ac:dyDescent="0.45">
      <c r="B77" s="7" t="s">
        <v>1403</v>
      </c>
      <c r="C77" s="7" t="s">
        <v>1404</v>
      </c>
      <c r="D77" s="7" t="s">
        <v>8</v>
      </c>
      <c r="E77" s="8" t="s">
        <v>1849</v>
      </c>
      <c r="H77" s="7" t="s">
        <v>1403</v>
      </c>
      <c r="I77" s="7" t="s">
        <v>1404</v>
      </c>
      <c r="J77" s="7" t="s">
        <v>1931</v>
      </c>
    </row>
    <row r="78" spans="2:10" x14ac:dyDescent="0.45">
      <c r="B78" s="7" t="s">
        <v>1405</v>
      </c>
      <c r="C78" s="7" t="s">
        <v>1406</v>
      </c>
      <c r="D78" s="7" t="s">
        <v>8</v>
      </c>
      <c r="E78" s="8" t="s">
        <v>1877</v>
      </c>
      <c r="H78" s="7" t="s">
        <v>1405</v>
      </c>
      <c r="I78" s="7" t="s">
        <v>1406</v>
      </c>
      <c r="J78" s="7" t="s">
        <v>1929</v>
      </c>
    </row>
    <row r="79" spans="2:10" x14ac:dyDescent="0.45">
      <c r="B79" s="7" t="s">
        <v>1407</v>
      </c>
      <c r="C79" s="7" t="s">
        <v>1408</v>
      </c>
      <c r="D79" s="7" t="s">
        <v>8</v>
      </c>
      <c r="E79" s="8" t="s">
        <v>1878</v>
      </c>
      <c r="H79" s="7" t="s">
        <v>1407</v>
      </c>
      <c r="I79" s="7" t="s">
        <v>1408</v>
      </c>
      <c r="J79" s="7" t="s">
        <v>1929</v>
      </c>
    </row>
    <row r="80" spans="2:10" x14ac:dyDescent="0.45">
      <c r="B80" s="7" t="s">
        <v>1409</v>
      </c>
      <c r="C80" s="7" t="s">
        <v>1410</v>
      </c>
      <c r="D80" s="7" t="s">
        <v>8</v>
      </c>
      <c r="E80" s="8" t="s">
        <v>1853</v>
      </c>
      <c r="H80" s="7" t="s">
        <v>1409</v>
      </c>
      <c r="I80" s="7" t="s">
        <v>1410</v>
      </c>
      <c r="J80" s="7" t="s">
        <v>1924</v>
      </c>
    </row>
    <row r="81" spans="2:10" x14ac:dyDescent="0.45">
      <c r="B81" s="7" t="s">
        <v>1411</v>
      </c>
      <c r="C81" s="7" t="s">
        <v>1412</v>
      </c>
      <c r="D81" s="7" t="s">
        <v>8</v>
      </c>
      <c r="E81" s="8" t="s">
        <v>1879</v>
      </c>
      <c r="H81" s="7" t="s">
        <v>1411</v>
      </c>
      <c r="I81" s="7" t="s">
        <v>1412</v>
      </c>
      <c r="J81" s="7" t="s">
        <v>1922</v>
      </c>
    </row>
    <row r="82" spans="2:10" x14ac:dyDescent="0.45">
      <c r="B82" s="7" t="s">
        <v>1413</v>
      </c>
      <c r="C82" s="7" t="s">
        <v>1414</v>
      </c>
      <c r="D82" s="7" t="s">
        <v>8</v>
      </c>
      <c r="E82" s="8" t="s">
        <v>1850</v>
      </c>
      <c r="H82" s="7" t="s">
        <v>1413</v>
      </c>
      <c r="I82" s="7" t="s">
        <v>1414</v>
      </c>
      <c r="J82" s="7" t="s">
        <v>1932</v>
      </c>
    </row>
    <row r="83" spans="2:10" x14ac:dyDescent="0.45">
      <c r="B83" s="7" t="s">
        <v>1415</v>
      </c>
      <c r="C83" s="7" t="s">
        <v>1416</v>
      </c>
      <c r="D83" s="7" t="s">
        <v>8</v>
      </c>
      <c r="E83" s="8" t="s">
        <v>1850</v>
      </c>
      <c r="H83" s="7" t="s">
        <v>1415</v>
      </c>
      <c r="I83" s="7" t="s">
        <v>1416</v>
      </c>
      <c r="J83" s="7" t="s">
        <v>1926</v>
      </c>
    </row>
    <row r="84" spans="2:10" x14ac:dyDescent="0.45">
      <c r="B84" s="7" t="s">
        <v>1417</v>
      </c>
      <c r="C84" s="7" t="s">
        <v>1418</v>
      </c>
      <c r="D84" s="7" t="s">
        <v>8</v>
      </c>
      <c r="E84" s="8" t="s">
        <v>1847</v>
      </c>
      <c r="H84" s="7" t="s">
        <v>1417</v>
      </c>
      <c r="I84" s="7" t="s">
        <v>1418</v>
      </c>
      <c r="J84" s="7" t="s">
        <v>1927</v>
      </c>
    </row>
    <row r="85" spans="2:10" x14ac:dyDescent="0.45">
      <c r="B85" s="7" t="s">
        <v>1419</v>
      </c>
      <c r="C85" s="7" t="s">
        <v>1420</v>
      </c>
      <c r="D85" s="7" t="s">
        <v>8</v>
      </c>
      <c r="E85" s="8" t="s">
        <v>1854</v>
      </c>
      <c r="H85" s="7" t="s">
        <v>1419</v>
      </c>
      <c r="I85" s="7" t="s">
        <v>1420</v>
      </c>
      <c r="J85" s="7" t="s">
        <v>1924</v>
      </c>
    </row>
    <row r="86" spans="2:10" x14ac:dyDescent="0.45">
      <c r="B86" s="7" t="s">
        <v>1421</v>
      </c>
      <c r="C86" s="7" t="s">
        <v>1422</v>
      </c>
      <c r="D86" s="7" t="s">
        <v>8</v>
      </c>
      <c r="E86" s="8" t="s">
        <v>1857</v>
      </c>
      <c r="H86" s="7" t="s">
        <v>1421</v>
      </c>
      <c r="I86" s="7" t="s">
        <v>1422</v>
      </c>
      <c r="J86" s="7" t="s">
        <v>1924</v>
      </c>
    </row>
    <row r="87" spans="2:10" x14ac:dyDescent="0.45">
      <c r="B87" s="7" t="s">
        <v>1423</v>
      </c>
      <c r="C87" s="7" t="s">
        <v>1424</v>
      </c>
      <c r="D87" s="7" t="s">
        <v>8</v>
      </c>
      <c r="E87" s="8" t="s">
        <v>1857</v>
      </c>
      <c r="H87" s="7" t="s">
        <v>1423</v>
      </c>
      <c r="I87" s="7" t="s">
        <v>1424</v>
      </c>
      <c r="J87" s="7" t="s">
        <v>1924</v>
      </c>
    </row>
    <row r="88" spans="2:10" x14ac:dyDescent="0.45">
      <c r="B88" s="7" t="s">
        <v>1425</v>
      </c>
      <c r="C88" s="7" t="s">
        <v>1426</v>
      </c>
      <c r="D88" s="7" t="s">
        <v>8</v>
      </c>
      <c r="E88" s="8" t="s">
        <v>1858</v>
      </c>
      <c r="H88" s="7" t="s">
        <v>1425</v>
      </c>
      <c r="I88" s="7" t="s">
        <v>1426</v>
      </c>
      <c r="J88" s="7" t="s">
        <v>1924</v>
      </c>
    </row>
    <row r="89" spans="2:10" x14ac:dyDescent="0.45">
      <c r="B89" s="7" t="s">
        <v>1427</v>
      </c>
      <c r="C89" s="7" t="s">
        <v>1428</v>
      </c>
      <c r="D89" s="7" t="s">
        <v>8</v>
      </c>
      <c r="E89" s="8" t="s">
        <v>1858</v>
      </c>
      <c r="H89" s="7" t="s">
        <v>1427</v>
      </c>
      <c r="I89" s="7" t="s">
        <v>1428</v>
      </c>
      <c r="J89" s="7" t="s">
        <v>1924</v>
      </c>
    </row>
    <row r="90" spans="2:10" x14ac:dyDescent="0.45">
      <c r="B90" s="7" t="s">
        <v>1429</v>
      </c>
      <c r="C90" s="7" t="s">
        <v>1430</v>
      </c>
      <c r="D90" s="7" t="s">
        <v>8</v>
      </c>
      <c r="E90" s="8" t="s">
        <v>1858</v>
      </c>
      <c r="H90" s="7" t="s">
        <v>1429</v>
      </c>
      <c r="I90" s="7" t="s">
        <v>1430</v>
      </c>
      <c r="J90" s="7" t="s">
        <v>1922</v>
      </c>
    </row>
    <row r="91" spans="2:10" x14ac:dyDescent="0.45">
      <c r="B91" s="7" t="s">
        <v>1431</v>
      </c>
      <c r="C91" s="7" t="s">
        <v>1432</v>
      </c>
      <c r="D91" s="7" t="s">
        <v>8</v>
      </c>
      <c r="E91" s="8" t="s">
        <v>1857</v>
      </c>
      <c r="H91" s="7" t="s">
        <v>1431</v>
      </c>
      <c r="I91" s="7" t="s">
        <v>1432</v>
      </c>
      <c r="J91" s="7" t="s">
        <v>1929</v>
      </c>
    </row>
    <row r="92" spans="2:10" x14ac:dyDescent="0.45">
      <c r="B92" s="7" t="s">
        <v>1433</v>
      </c>
      <c r="C92" s="7" t="s">
        <v>1434</v>
      </c>
      <c r="D92" s="7" t="s">
        <v>8</v>
      </c>
      <c r="E92" s="8" t="s">
        <v>1838</v>
      </c>
      <c r="H92" s="7" t="s">
        <v>1433</v>
      </c>
      <c r="I92" s="7" t="s">
        <v>1434</v>
      </c>
      <c r="J92" s="7" t="s">
        <v>1924</v>
      </c>
    </row>
    <row r="93" spans="2:10" x14ac:dyDescent="0.45">
      <c r="B93" s="7" t="s">
        <v>1435</v>
      </c>
      <c r="C93" s="7" t="s">
        <v>1436</v>
      </c>
      <c r="D93" s="7" t="s">
        <v>8</v>
      </c>
      <c r="E93" s="8" t="s">
        <v>1844</v>
      </c>
      <c r="H93" s="7" t="s">
        <v>1435</v>
      </c>
      <c r="I93" s="7" t="s">
        <v>1436</v>
      </c>
      <c r="J93" s="7" t="s">
        <v>1930</v>
      </c>
    </row>
    <row r="94" spans="2:10" x14ac:dyDescent="0.45">
      <c r="B94" s="7" t="s">
        <v>1437</v>
      </c>
      <c r="C94" s="7" t="s">
        <v>1438</v>
      </c>
      <c r="D94" s="7" t="s">
        <v>8</v>
      </c>
      <c r="E94" s="8" t="s">
        <v>1861</v>
      </c>
      <c r="H94" s="7" t="s">
        <v>1437</v>
      </c>
      <c r="I94" s="7" t="s">
        <v>1438</v>
      </c>
      <c r="J94" s="7" t="s">
        <v>1922</v>
      </c>
    </row>
    <row r="95" spans="2:10" x14ac:dyDescent="0.45">
      <c r="B95" s="7" t="s">
        <v>1439</v>
      </c>
      <c r="C95" s="7" t="s">
        <v>1440</v>
      </c>
      <c r="D95" s="7" t="s">
        <v>14</v>
      </c>
      <c r="E95" s="8" t="s">
        <v>1880</v>
      </c>
      <c r="H95" s="7" t="s">
        <v>1439</v>
      </c>
      <c r="I95" s="7" t="s">
        <v>1440</v>
      </c>
      <c r="J95" s="7" t="s">
        <v>1927</v>
      </c>
    </row>
    <row r="96" spans="2:10" x14ac:dyDescent="0.45">
      <c r="B96" s="7" t="s">
        <v>1441</v>
      </c>
      <c r="C96" s="7" t="s">
        <v>1442</v>
      </c>
      <c r="D96" s="7" t="s">
        <v>14</v>
      </c>
      <c r="E96" s="8" t="s">
        <v>1851</v>
      </c>
      <c r="H96" s="7" t="s">
        <v>1441</v>
      </c>
      <c r="I96" s="7" t="s">
        <v>1442</v>
      </c>
      <c r="J96" s="7" t="s">
        <v>1924</v>
      </c>
    </row>
    <row r="97" spans="2:10" x14ac:dyDescent="0.45">
      <c r="B97" s="7" t="s">
        <v>1443</v>
      </c>
      <c r="C97" s="7" t="s">
        <v>1444</v>
      </c>
      <c r="D97" s="7" t="s">
        <v>14</v>
      </c>
      <c r="E97" s="8" t="s">
        <v>1881</v>
      </c>
      <c r="H97" s="7" t="s">
        <v>1443</v>
      </c>
      <c r="I97" s="7" t="s">
        <v>1444</v>
      </c>
      <c r="J97" s="7" t="s">
        <v>1924</v>
      </c>
    </row>
    <row r="98" spans="2:10" x14ac:dyDescent="0.45">
      <c r="B98" s="7" t="s">
        <v>1445</v>
      </c>
      <c r="C98" s="7" t="s">
        <v>1446</v>
      </c>
      <c r="D98" s="7" t="s">
        <v>14</v>
      </c>
      <c r="E98" s="8" t="s">
        <v>1882</v>
      </c>
      <c r="H98" s="7" t="s">
        <v>1445</v>
      </c>
      <c r="I98" s="7" t="s">
        <v>1446</v>
      </c>
      <c r="J98" s="7" t="s">
        <v>1924</v>
      </c>
    </row>
    <row r="99" spans="2:10" x14ac:dyDescent="0.45">
      <c r="B99" s="7" t="s">
        <v>1447</v>
      </c>
      <c r="C99" s="7" t="s">
        <v>1448</v>
      </c>
      <c r="D99" s="7" t="s">
        <v>14</v>
      </c>
      <c r="E99" s="8" t="s">
        <v>1883</v>
      </c>
      <c r="H99" s="7" t="s">
        <v>1447</v>
      </c>
      <c r="I99" s="7" t="s">
        <v>1448</v>
      </c>
      <c r="J99" s="7" t="s">
        <v>1922</v>
      </c>
    </row>
    <row r="100" spans="2:10" x14ac:dyDescent="0.45">
      <c r="B100" s="7" t="s">
        <v>1449</v>
      </c>
      <c r="C100" s="7" t="s">
        <v>1450</v>
      </c>
      <c r="D100" s="7" t="s">
        <v>14</v>
      </c>
      <c r="E100" s="8" t="s">
        <v>1842</v>
      </c>
      <c r="H100" s="7" t="s">
        <v>1449</v>
      </c>
      <c r="I100" s="7" t="s">
        <v>1450</v>
      </c>
      <c r="J100" s="7" t="s">
        <v>1922</v>
      </c>
    </row>
    <row r="101" spans="2:10" x14ac:dyDescent="0.45">
      <c r="B101" s="7" t="s">
        <v>1451</v>
      </c>
      <c r="C101" s="7" t="s">
        <v>1452</v>
      </c>
      <c r="D101" s="7" t="s">
        <v>14</v>
      </c>
      <c r="E101" s="8" t="s">
        <v>1884</v>
      </c>
      <c r="H101" s="7" t="s">
        <v>1451</v>
      </c>
      <c r="I101" s="7" t="s">
        <v>1452</v>
      </c>
      <c r="J101" s="7" t="s">
        <v>1924</v>
      </c>
    </row>
    <row r="102" spans="2:10" x14ac:dyDescent="0.45">
      <c r="B102" s="7" t="s">
        <v>1453</v>
      </c>
      <c r="C102" s="7" t="s">
        <v>1454</v>
      </c>
      <c r="D102" s="7" t="s">
        <v>14</v>
      </c>
      <c r="E102" s="8" t="s">
        <v>1834</v>
      </c>
      <c r="H102" s="7" t="s">
        <v>1453</v>
      </c>
      <c r="I102" s="7" t="s">
        <v>1454</v>
      </c>
      <c r="J102" s="7" t="s">
        <v>1922</v>
      </c>
    </row>
    <row r="103" spans="2:10" x14ac:dyDescent="0.45">
      <c r="B103" s="7" t="s">
        <v>1455</v>
      </c>
      <c r="C103" s="7" t="s">
        <v>1456</v>
      </c>
      <c r="D103" s="7" t="s">
        <v>14</v>
      </c>
      <c r="E103" s="8" t="s">
        <v>1885</v>
      </c>
      <c r="H103" s="7" t="s">
        <v>1455</v>
      </c>
      <c r="I103" s="7" t="s">
        <v>1456</v>
      </c>
      <c r="J103" s="7" t="s">
        <v>1929</v>
      </c>
    </row>
    <row r="104" spans="2:10" x14ac:dyDescent="0.45">
      <c r="B104" s="7" t="s">
        <v>1457</v>
      </c>
      <c r="C104" s="7" t="s">
        <v>1458</v>
      </c>
      <c r="D104" s="7" t="s">
        <v>14</v>
      </c>
      <c r="E104" s="8" t="s">
        <v>1871</v>
      </c>
      <c r="H104" s="7" t="s">
        <v>1457</v>
      </c>
      <c r="I104" s="7" t="s">
        <v>1458</v>
      </c>
      <c r="J104" s="7" t="s">
        <v>1922</v>
      </c>
    </row>
    <row r="105" spans="2:10" x14ac:dyDescent="0.45">
      <c r="B105" s="7" t="s">
        <v>1459</v>
      </c>
      <c r="C105" s="7" t="s">
        <v>1460</v>
      </c>
      <c r="D105" s="7" t="s">
        <v>14</v>
      </c>
      <c r="E105" s="8" t="s">
        <v>1886</v>
      </c>
      <c r="H105" s="7" t="s">
        <v>1459</v>
      </c>
      <c r="I105" s="7" t="s">
        <v>1460</v>
      </c>
      <c r="J105" s="7" t="s">
        <v>1925</v>
      </c>
    </row>
    <row r="106" spans="2:10" x14ac:dyDescent="0.45">
      <c r="B106" s="7" t="s">
        <v>1461</v>
      </c>
      <c r="C106" s="7" t="s">
        <v>1462</v>
      </c>
      <c r="D106" s="7" t="s">
        <v>14</v>
      </c>
      <c r="E106" s="8" t="s">
        <v>1837</v>
      </c>
      <c r="H106" s="7" t="s">
        <v>1461</v>
      </c>
      <c r="I106" s="7" t="s">
        <v>1462</v>
      </c>
      <c r="J106" s="7" t="s">
        <v>1922</v>
      </c>
    </row>
    <row r="107" spans="2:10" x14ac:dyDescent="0.45">
      <c r="B107" s="7" t="s">
        <v>1463</v>
      </c>
      <c r="C107" s="7" t="s">
        <v>1464</v>
      </c>
      <c r="D107" s="7" t="s">
        <v>14</v>
      </c>
      <c r="E107" s="8" t="s">
        <v>1837</v>
      </c>
      <c r="H107" s="7" t="s">
        <v>1463</v>
      </c>
      <c r="I107" s="7" t="s">
        <v>1464</v>
      </c>
      <c r="J107" s="7" t="s">
        <v>1923</v>
      </c>
    </row>
    <row r="108" spans="2:10" x14ac:dyDescent="0.45">
      <c r="B108" s="7" t="s">
        <v>1465</v>
      </c>
      <c r="C108" s="7" t="s">
        <v>1466</v>
      </c>
      <c r="D108" s="7" t="s">
        <v>14</v>
      </c>
      <c r="E108" s="8" t="s">
        <v>1887</v>
      </c>
      <c r="H108" s="7" t="s">
        <v>1465</v>
      </c>
      <c r="I108" s="7" t="s">
        <v>1466</v>
      </c>
      <c r="J108" s="7" t="s">
        <v>1924</v>
      </c>
    </row>
    <row r="109" spans="2:10" x14ac:dyDescent="0.45">
      <c r="B109" s="7" t="s">
        <v>1467</v>
      </c>
      <c r="C109" s="7" t="s">
        <v>1468</v>
      </c>
      <c r="D109" s="7" t="s">
        <v>14</v>
      </c>
      <c r="E109" s="8" t="s">
        <v>1839</v>
      </c>
      <c r="H109" s="7" t="s">
        <v>1467</v>
      </c>
      <c r="I109" s="7" t="s">
        <v>1468</v>
      </c>
      <c r="J109" s="7" t="s">
        <v>1924</v>
      </c>
    </row>
    <row r="110" spans="2:10" x14ac:dyDescent="0.45">
      <c r="B110" s="7" t="s">
        <v>1469</v>
      </c>
      <c r="C110" s="7" t="s">
        <v>1470</v>
      </c>
      <c r="D110" s="7" t="s">
        <v>14</v>
      </c>
      <c r="E110" s="8" t="s">
        <v>1843</v>
      </c>
      <c r="H110" s="7" t="s">
        <v>1469</v>
      </c>
      <c r="I110" s="7" t="s">
        <v>1470</v>
      </c>
      <c r="J110" s="7" t="s">
        <v>1922</v>
      </c>
    </row>
    <row r="111" spans="2:10" x14ac:dyDescent="0.45">
      <c r="B111" s="7" t="s">
        <v>1471</v>
      </c>
      <c r="C111" s="7" t="s">
        <v>1472</v>
      </c>
      <c r="D111" s="7" t="s">
        <v>14</v>
      </c>
      <c r="E111" s="8" t="s">
        <v>1841</v>
      </c>
      <c r="H111" s="7" t="s">
        <v>1471</v>
      </c>
      <c r="I111" s="7" t="s">
        <v>1472</v>
      </c>
      <c r="J111" s="7" t="s">
        <v>1924</v>
      </c>
    </row>
    <row r="112" spans="2:10" x14ac:dyDescent="0.45">
      <c r="B112" s="7" t="s">
        <v>1473</v>
      </c>
      <c r="C112" s="7" t="s">
        <v>1474</v>
      </c>
      <c r="D112" s="7" t="s">
        <v>14</v>
      </c>
      <c r="E112" s="8" t="s">
        <v>1841</v>
      </c>
      <c r="H112" s="7" t="s">
        <v>1473</v>
      </c>
      <c r="I112" s="7" t="s">
        <v>1474</v>
      </c>
      <c r="J112" s="7" t="s">
        <v>1924</v>
      </c>
    </row>
    <row r="113" spans="2:10" x14ac:dyDescent="0.45">
      <c r="B113" s="7" t="s">
        <v>1475</v>
      </c>
      <c r="C113" s="7" t="s">
        <v>1476</v>
      </c>
      <c r="D113" s="7" t="s">
        <v>14</v>
      </c>
      <c r="E113" s="8" t="s">
        <v>1853</v>
      </c>
      <c r="H113" s="7" t="s">
        <v>1475</v>
      </c>
      <c r="I113" s="7" t="s">
        <v>1476</v>
      </c>
      <c r="J113" s="7" t="s">
        <v>1922</v>
      </c>
    </row>
    <row r="114" spans="2:10" x14ac:dyDescent="0.45">
      <c r="B114" s="7" t="s">
        <v>1477</v>
      </c>
      <c r="C114" s="7" t="s">
        <v>1478</v>
      </c>
      <c r="D114" s="7" t="s">
        <v>14</v>
      </c>
      <c r="E114" s="8" t="s">
        <v>1856</v>
      </c>
      <c r="H114" s="7" t="s">
        <v>1477</v>
      </c>
      <c r="I114" s="7" t="s">
        <v>1478</v>
      </c>
      <c r="J114" s="7" t="s">
        <v>1926</v>
      </c>
    </row>
    <row r="115" spans="2:10" x14ac:dyDescent="0.45">
      <c r="B115" s="7" t="s">
        <v>1479</v>
      </c>
      <c r="C115" s="7" t="s">
        <v>1480</v>
      </c>
      <c r="D115" s="7" t="s">
        <v>14</v>
      </c>
      <c r="E115" s="8" t="s">
        <v>1859</v>
      </c>
      <c r="H115" s="7" t="s">
        <v>1479</v>
      </c>
      <c r="I115" s="7" t="s">
        <v>1480</v>
      </c>
      <c r="J115" s="7" t="s">
        <v>1928</v>
      </c>
    </row>
    <row r="116" spans="2:10" x14ac:dyDescent="0.45">
      <c r="B116" s="7" t="s">
        <v>1481</v>
      </c>
      <c r="C116" s="7" t="s">
        <v>1482</v>
      </c>
      <c r="D116" s="7" t="s">
        <v>14</v>
      </c>
      <c r="E116" s="8" t="s">
        <v>1859</v>
      </c>
      <c r="H116" s="7" t="s">
        <v>1481</v>
      </c>
      <c r="I116" s="7" t="s">
        <v>1482</v>
      </c>
      <c r="J116" s="7" t="s">
        <v>1922</v>
      </c>
    </row>
    <row r="117" spans="2:10" x14ac:dyDescent="0.45">
      <c r="B117" s="7" t="s">
        <v>1483</v>
      </c>
      <c r="C117" s="7" t="s">
        <v>1484</v>
      </c>
      <c r="D117" s="7" t="s">
        <v>14</v>
      </c>
      <c r="E117" s="8" t="s">
        <v>1888</v>
      </c>
      <c r="H117" s="7" t="s">
        <v>1483</v>
      </c>
      <c r="I117" s="7" t="s">
        <v>1484</v>
      </c>
      <c r="J117" s="7" t="s">
        <v>1924</v>
      </c>
    </row>
    <row r="118" spans="2:10" x14ac:dyDescent="0.45">
      <c r="B118" s="7" t="s">
        <v>1485</v>
      </c>
      <c r="C118" s="7" t="s">
        <v>1486</v>
      </c>
      <c r="D118" s="7" t="s">
        <v>14</v>
      </c>
      <c r="E118" s="8" t="s">
        <v>1846</v>
      </c>
      <c r="H118" s="7" t="s">
        <v>1485</v>
      </c>
      <c r="I118" s="7" t="s">
        <v>1486</v>
      </c>
      <c r="J118" s="7" t="s">
        <v>1927</v>
      </c>
    </row>
    <row r="119" spans="2:10" x14ac:dyDescent="0.45">
      <c r="B119" s="7" t="s">
        <v>1487</v>
      </c>
      <c r="C119" s="7" t="s">
        <v>1488</v>
      </c>
      <c r="D119" s="7" t="s">
        <v>14</v>
      </c>
      <c r="E119" s="8" t="s">
        <v>1846</v>
      </c>
      <c r="H119" s="7" t="s">
        <v>1487</v>
      </c>
      <c r="I119" s="7" t="s">
        <v>1488</v>
      </c>
      <c r="J119" s="7" t="s">
        <v>1929</v>
      </c>
    </row>
    <row r="120" spans="2:10" x14ac:dyDescent="0.45">
      <c r="B120" s="7" t="s">
        <v>1489</v>
      </c>
      <c r="C120" s="7" t="s">
        <v>1490</v>
      </c>
      <c r="D120" s="7" t="s">
        <v>14</v>
      </c>
      <c r="E120" s="8" t="s">
        <v>1853</v>
      </c>
      <c r="H120" s="7" t="s">
        <v>1489</v>
      </c>
      <c r="I120" s="7" t="s">
        <v>1490</v>
      </c>
      <c r="J120" s="7" t="s">
        <v>1922</v>
      </c>
    </row>
    <row r="121" spans="2:10" x14ac:dyDescent="0.45">
      <c r="B121" s="7" t="s">
        <v>1491</v>
      </c>
      <c r="C121" s="7" t="s">
        <v>1492</v>
      </c>
      <c r="D121" s="7" t="s">
        <v>14</v>
      </c>
      <c r="E121" s="8" t="s">
        <v>1889</v>
      </c>
      <c r="H121" s="7" t="s">
        <v>1491</v>
      </c>
      <c r="I121" s="7" t="s">
        <v>1492</v>
      </c>
      <c r="J121" s="7" t="s">
        <v>1922</v>
      </c>
    </row>
    <row r="122" spans="2:10" x14ac:dyDescent="0.45">
      <c r="B122" s="7" t="s">
        <v>1493</v>
      </c>
      <c r="C122" s="7" t="s">
        <v>1494</v>
      </c>
      <c r="D122" s="7" t="s">
        <v>14</v>
      </c>
      <c r="E122" s="8" t="s">
        <v>1848</v>
      </c>
      <c r="H122" s="7" t="s">
        <v>1493</v>
      </c>
      <c r="I122" s="7" t="s">
        <v>1494</v>
      </c>
      <c r="J122" s="7" t="s">
        <v>1924</v>
      </c>
    </row>
    <row r="123" spans="2:10" x14ac:dyDescent="0.45">
      <c r="B123" s="7" t="s">
        <v>1495</v>
      </c>
      <c r="C123" s="7" t="s">
        <v>1496</v>
      </c>
      <c r="D123" s="7" t="s">
        <v>14</v>
      </c>
      <c r="E123" s="8" t="s">
        <v>1848</v>
      </c>
      <c r="H123" s="7" t="s">
        <v>1495</v>
      </c>
      <c r="I123" s="7" t="s">
        <v>1496</v>
      </c>
      <c r="J123" s="7" t="s">
        <v>1930</v>
      </c>
    </row>
    <row r="124" spans="2:10" x14ac:dyDescent="0.45">
      <c r="B124" s="7" t="s">
        <v>1497</v>
      </c>
      <c r="C124" s="7" t="s">
        <v>1498</v>
      </c>
      <c r="D124" s="7" t="s">
        <v>14</v>
      </c>
      <c r="E124" s="8" t="s">
        <v>1849</v>
      </c>
      <c r="H124" s="7" t="s">
        <v>1497</v>
      </c>
      <c r="I124" s="7" t="s">
        <v>1498</v>
      </c>
      <c r="J124" s="7" t="s">
        <v>1924</v>
      </c>
    </row>
    <row r="125" spans="2:10" x14ac:dyDescent="0.45">
      <c r="B125" s="7" t="s">
        <v>1499</v>
      </c>
      <c r="C125" s="7" t="s">
        <v>1500</v>
      </c>
      <c r="D125" s="7" t="s">
        <v>14</v>
      </c>
      <c r="E125" s="8" t="s">
        <v>1849</v>
      </c>
      <c r="H125" s="7" t="s">
        <v>1499</v>
      </c>
      <c r="I125" s="7" t="s">
        <v>1500</v>
      </c>
      <c r="J125" s="7" t="s">
        <v>1922</v>
      </c>
    </row>
    <row r="126" spans="2:10" x14ac:dyDescent="0.45">
      <c r="B126" s="7" t="s">
        <v>1501</v>
      </c>
      <c r="C126" s="7" t="s">
        <v>1502</v>
      </c>
      <c r="D126" s="7" t="s">
        <v>14</v>
      </c>
      <c r="E126" s="8" t="s">
        <v>1850</v>
      </c>
      <c r="H126" s="7" t="s">
        <v>1501</v>
      </c>
      <c r="I126" s="7" t="s">
        <v>1502</v>
      </c>
      <c r="J126" s="7" t="s">
        <v>1924</v>
      </c>
    </row>
    <row r="127" spans="2:10" x14ac:dyDescent="0.45">
      <c r="B127" s="7" t="s">
        <v>1503</v>
      </c>
      <c r="C127" s="7" t="s">
        <v>1504</v>
      </c>
      <c r="D127" s="7" t="s">
        <v>14</v>
      </c>
      <c r="E127" s="8" t="s">
        <v>1852</v>
      </c>
      <c r="H127" s="7" t="s">
        <v>1503</v>
      </c>
      <c r="I127" s="7" t="s">
        <v>1504</v>
      </c>
      <c r="J127" s="7" t="s">
        <v>1924</v>
      </c>
    </row>
    <row r="128" spans="2:10" x14ac:dyDescent="0.45">
      <c r="B128" s="7" t="s">
        <v>1505</v>
      </c>
      <c r="C128" s="7" t="s">
        <v>1506</v>
      </c>
      <c r="D128" s="7" t="s">
        <v>14</v>
      </c>
      <c r="E128" s="8" t="s">
        <v>1850</v>
      </c>
      <c r="H128" s="7" t="s">
        <v>1505</v>
      </c>
      <c r="I128" s="7" t="s">
        <v>1506</v>
      </c>
      <c r="J128" s="7" t="s">
        <v>1922</v>
      </c>
    </row>
    <row r="129" spans="2:10" x14ac:dyDescent="0.45">
      <c r="B129" s="7" t="s">
        <v>1507</v>
      </c>
      <c r="C129" s="7" t="s">
        <v>1508</v>
      </c>
      <c r="D129" s="7" t="s">
        <v>14</v>
      </c>
      <c r="E129" s="8" t="s">
        <v>1857</v>
      </c>
      <c r="H129" s="7" t="s">
        <v>1507</v>
      </c>
      <c r="I129" s="7" t="s">
        <v>1508</v>
      </c>
      <c r="J129" s="7" t="s">
        <v>1928</v>
      </c>
    </row>
    <row r="130" spans="2:10" x14ac:dyDescent="0.45">
      <c r="B130" s="7" t="s">
        <v>1509</v>
      </c>
      <c r="C130" s="7" t="s">
        <v>1510</v>
      </c>
      <c r="D130" s="7" t="s">
        <v>14</v>
      </c>
      <c r="E130" s="8" t="s">
        <v>1850</v>
      </c>
      <c r="H130" s="7" t="s">
        <v>1509</v>
      </c>
      <c r="I130" s="7" t="s">
        <v>1510</v>
      </c>
      <c r="J130" s="7" t="s">
        <v>1924</v>
      </c>
    </row>
    <row r="131" spans="2:10" x14ac:dyDescent="0.45">
      <c r="B131" s="7" t="s">
        <v>1511</v>
      </c>
      <c r="C131" s="7" t="s">
        <v>1512</v>
      </c>
      <c r="D131" s="7" t="s">
        <v>14</v>
      </c>
      <c r="E131" s="8" t="s">
        <v>1890</v>
      </c>
      <c r="H131" s="7" t="s">
        <v>1511</v>
      </c>
      <c r="I131" s="7" t="s">
        <v>1512</v>
      </c>
      <c r="J131" s="7" t="s">
        <v>1922</v>
      </c>
    </row>
    <row r="132" spans="2:10" x14ac:dyDescent="0.45">
      <c r="B132" s="7" t="s">
        <v>1513</v>
      </c>
      <c r="C132" s="7" t="s">
        <v>1514</v>
      </c>
      <c r="D132" s="7" t="s">
        <v>14</v>
      </c>
      <c r="E132" s="8" t="s">
        <v>1847</v>
      </c>
      <c r="H132" s="7" t="s">
        <v>1513</v>
      </c>
      <c r="I132" s="7" t="s">
        <v>1514</v>
      </c>
      <c r="J132" s="7" t="s">
        <v>1927</v>
      </c>
    </row>
    <row r="133" spans="2:10" x14ac:dyDescent="0.45">
      <c r="B133" s="7" t="s">
        <v>1515</v>
      </c>
      <c r="C133" s="7" t="s">
        <v>1516</v>
      </c>
      <c r="D133" s="7" t="s">
        <v>14</v>
      </c>
      <c r="E133" s="8" t="s">
        <v>1860</v>
      </c>
      <c r="H133" s="7" t="s">
        <v>1515</v>
      </c>
      <c r="I133" s="7" t="s">
        <v>1516</v>
      </c>
      <c r="J133" s="7" t="s">
        <v>1924</v>
      </c>
    </row>
    <row r="134" spans="2:10" x14ac:dyDescent="0.45">
      <c r="B134" s="7" t="s">
        <v>1517</v>
      </c>
      <c r="C134" s="7" t="s">
        <v>1518</v>
      </c>
      <c r="D134" s="7" t="s">
        <v>14</v>
      </c>
      <c r="E134" s="8" t="s">
        <v>1860</v>
      </c>
      <c r="H134" s="7" t="s">
        <v>1517</v>
      </c>
      <c r="I134" s="7" t="s">
        <v>1518</v>
      </c>
      <c r="J134" s="7" t="s">
        <v>1924</v>
      </c>
    </row>
    <row r="135" spans="2:10" x14ac:dyDescent="0.45">
      <c r="B135" s="7" t="s">
        <v>1519</v>
      </c>
      <c r="C135" s="7" t="s">
        <v>1520</v>
      </c>
      <c r="D135" s="7" t="s">
        <v>14</v>
      </c>
      <c r="E135" s="8" t="s">
        <v>1860</v>
      </c>
      <c r="H135" s="7" t="s">
        <v>1519</v>
      </c>
      <c r="I135" s="7" t="s">
        <v>1520</v>
      </c>
      <c r="J135" s="7" t="s">
        <v>1922</v>
      </c>
    </row>
    <row r="136" spans="2:10" x14ac:dyDescent="0.45">
      <c r="B136" s="7" t="s">
        <v>1521</v>
      </c>
      <c r="C136" s="7" t="s">
        <v>1522</v>
      </c>
      <c r="D136" s="7" t="s">
        <v>14</v>
      </c>
      <c r="E136" s="8" t="s">
        <v>1857</v>
      </c>
      <c r="H136" s="7" t="s">
        <v>1521</v>
      </c>
      <c r="I136" s="7" t="s">
        <v>1522</v>
      </c>
      <c r="J136" s="7" t="s">
        <v>1924</v>
      </c>
    </row>
    <row r="137" spans="2:10" x14ac:dyDescent="0.45">
      <c r="B137" s="7" t="s">
        <v>1523</v>
      </c>
      <c r="C137" s="7" t="s">
        <v>1524</v>
      </c>
      <c r="D137" s="7" t="s">
        <v>18</v>
      </c>
      <c r="E137" s="8" t="s">
        <v>1843</v>
      </c>
      <c r="H137" s="7" t="s">
        <v>1523</v>
      </c>
      <c r="I137" s="7" t="s">
        <v>1524</v>
      </c>
      <c r="J137" s="7" t="s">
        <v>1922</v>
      </c>
    </row>
    <row r="138" spans="2:10" x14ac:dyDescent="0.45">
      <c r="B138" s="7" t="s">
        <v>1525</v>
      </c>
      <c r="C138" s="7" t="s">
        <v>1526</v>
      </c>
      <c r="D138" s="7" t="s">
        <v>18</v>
      </c>
      <c r="E138" s="8" t="s">
        <v>1839</v>
      </c>
      <c r="H138" s="7" t="s">
        <v>1525</v>
      </c>
      <c r="I138" s="7" t="s">
        <v>1526</v>
      </c>
      <c r="J138" s="7" t="s">
        <v>1924</v>
      </c>
    </row>
    <row r="139" spans="2:10" x14ac:dyDescent="0.45">
      <c r="B139" s="7" t="s">
        <v>1527</v>
      </c>
      <c r="C139" s="7" t="s">
        <v>1528</v>
      </c>
      <c r="D139" s="7" t="s">
        <v>18</v>
      </c>
      <c r="E139" s="8" t="s">
        <v>1871</v>
      </c>
      <c r="H139" s="7" t="s">
        <v>1527</v>
      </c>
      <c r="I139" s="7" t="s">
        <v>1528</v>
      </c>
      <c r="J139" s="7" t="s">
        <v>1924</v>
      </c>
    </row>
    <row r="140" spans="2:10" x14ac:dyDescent="0.45">
      <c r="B140" s="7" t="s">
        <v>1529</v>
      </c>
      <c r="C140" s="7" t="s">
        <v>1530</v>
      </c>
      <c r="D140" s="7" t="s">
        <v>18</v>
      </c>
      <c r="E140" s="8" t="s">
        <v>1841</v>
      </c>
      <c r="H140" s="7" t="s">
        <v>1529</v>
      </c>
      <c r="I140" s="7" t="s">
        <v>1530</v>
      </c>
      <c r="J140" s="7" t="s">
        <v>1928</v>
      </c>
    </row>
    <row r="141" spans="2:10" x14ac:dyDescent="0.45">
      <c r="B141" s="7" t="s">
        <v>1531</v>
      </c>
      <c r="C141" s="7" t="s">
        <v>1532</v>
      </c>
      <c r="D141" s="7" t="s">
        <v>18</v>
      </c>
      <c r="E141" s="8" t="s">
        <v>1852</v>
      </c>
      <c r="H141" s="7" t="s">
        <v>1531</v>
      </c>
      <c r="I141" s="7" t="s">
        <v>1532</v>
      </c>
      <c r="J141" s="7" t="s">
        <v>1922</v>
      </c>
    </row>
    <row r="142" spans="2:10" x14ac:dyDescent="0.45">
      <c r="B142" s="7" t="s">
        <v>1533</v>
      </c>
      <c r="C142" s="7" t="s">
        <v>1534</v>
      </c>
      <c r="D142" s="7" t="s">
        <v>18</v>
      </c>
      <c r="E142" s="8" t="s">
        <v>1843</v>
      </c>
      <c r="H142" s="7" t="s">
        <v>1533</v>
      </c>
      <c r="I142" s="7" t="s">
        <v>1534</v>
      </c>
      <c r="J142" s="7" t="s">
        <v>1924</v>
      </c>
    </row>
    <row r="143" spans="2:10" x14ac:dyDescent="0.45">
      <c r="B143" s="7" t="s">
        <v>1535</v>
      </c>
      <c r="C143" s="7" t="s">
        <v>1536</v>
      </c>
      <c r="D143" s="7" t="s">
        <v>18</v>
      </c>
      <c r="E143" s="8" t="s">
        <v>1843</v>
      </c>
      <c r="H143" s="7" t="s">
        <v>1535</v>
      </c>
      <c r="I143" s="7" t="s">
        <v>1536</v>
      </c>
      <c r="J143" s="7" t="s">
        <v>1924</v>
      </c>
    </row>
    <row r="144" spans="2:10" x14ac:dyDescent="0.45">
      <c r="B144" s="7" t="s">
        <v>1537</v>
      </c>
      <c r="C144" s="7" t="s">
        <v>1538</v>
      </c>
      <c r="D144" s="7" t="s">
        <v>18</v>
      </c>
      <c r="E144" s="8" t="s">
        <v>1853</v>
      </c>
      <c r="H144" s="7" t="s">
        <v>1537</v>
      </c>
      <c r="I144" s="7" t="s">
        <v>1538</v>
      </c>
      <c r="J144" s="7" t="s">
        <v>1922</v>
      </c>
    </row>
    <row r="145" spans="2:10" x14ac:dyDescent="0.45">
      <c r="B145" s="7" t="s">
        <v>1539</v>
      </c>
      <c r="C145" s="7" t="s">
        <v>1540</v>
      </c>
      <c r="D145" s="7" t="s">
        <v>18</v>
      </c>
      <c r="E145" s="8" t="s">
        <v>1891</v>
      </c>
      <c r="H145" s="7" t="s">
        <v>1539</v>
      </c>
      <c r="I145" s="7" t="s">
        <v>1540</v>
      </c>
      <c r="J145" s="7" t="s">
        <v>1926</v>
      </c>
    </row>
    <row r="146" spans="2:10" x14ac:dyDescent="0.45">
      <c r="B146" s="7" t="s">
        <v>1541</v>
      </c>
      <c r="C146" s="7" t="s">
        <v>1542</v>
      </c>
      <c r="D146" s="7" t="s">
        <v>18</v>
      </c>
      <c r="E146" s="8" t="s">
        <v>1841</v>
      </c>
      <c r="H146" s="7" t="s">
        <v>1541</v>
      </c>
      <c r="I146" s="7" t="s">
        <v>1542</v>
      </c>
      <c r="J146" s="7" t="s">
        <v>1924</v>
      </c>
    </row>
    <row r="147" spans="2:10" x14ac:dyDescent="0.45">
      <c r="B147" s="7" t="s">
        <v>1543</v>
      </c>
      <c r="C147" s="7" t="s">
        <v>1544</v>
      </c>
      <c r="D147" s="7" t="s">
        <v>18</v>
      </c>
      <c r="E147" s="8" t="s">
        <v>1871</v>
      </c>
      <c r="H147" s="7" t="s">
        <v>1543</v>
      </c>
      <c r="I147" s="7" t="s">
        <v>1544</v>
      </c>
      <c r="J147" s="7" t="s">
        <v>1922</v>
      </c>
    </row>
    <row r="148" spans="2:10" x14ac:dyDescent="0.45">
      <c r="B148" s="7" t="s">
        <v>1545</v>
      </c>
      <c r="C148" s="7" t="s">
        <v>1546</v>
      </c>
      <c r="D148" s="7" t="s">
        <v>18</v>
      </c>
      <c r="E148" s="8" t="s">
        <v>1892</v>
      </c>
      <c r="H148" s="7" t="s">
        <v>1545</v>
      </c>
      <c r="I148" s="7" t="s">
        <v>1546</v>
      </c>
      <c r="J148" s="7" t="s">
        <v>1924</v>
      </c>
    </row>
    <row r="149" spans="2:10" x14ac:dyDescent="0.45">
      <c r="B149" s="7" t="s">
        <v>1547</v>
      </c>
      <c r="C149" s="7" t="s">
        <v>1548</v>
      </c>
      <c r="D149" s="7" t="s">
        <v>18</v>
      </c>
      <c r="E149" s="8" t="s">
        <v>1893</v>
      </c>
      <c r="H149" s="7" t="s">
        <v>1547</v>
      </c>
      <c r="I149" s="7" t="s">
        <v>1548</v>
      </c>
      <c r="J149" s="7" t="s">
        <v>1924</v>
      </c>
    </row>
    <row r="150" spans="2:10" x14ac:dyDescent="0.45">
      <c r="B150" s="7" t="s">
        <v>1549</v>
      </c>
      <c r="C150" s="7" t="s">
        <v>1550</v>
      </c>
      <c r="D150" s="7" t="s">
        <v>18</v>
      </c>
      <c r="E150" s="8" t="s">
        <v>1841</v>
      </c>
      <c r="H150" s="7" t="s">
        <v>1549</v>
      </c>
      <c r="I150" s="7" t="s">
        <v>1550</v>
      </c>
      <c r="J150" s="7" t="s">
        <v>1923</v>
      </c>
    </row>
    <row r="151" spans="2:10" x14ac:dyDescent="0.45">
      <c r="B151" s="7" t="s">
        <v>1551</v>
      </c>
      <c r="C151" s="7" t="s">
        <v>1552</v>
      </c>
      <c r="D151" s="7" t="s">
        <v>18</v>
      </c>
      <c r="E151" s="8" t="s">
        <v>1894</v>
      </c>
      <c r="H151" s="7" t="s">
        <v>1551</v>
      </c>
      <c r="I151" s="7" t="s">
        <v>1552</v>
      </c>
      <c r="J151" s="7" t="s">
        <v>1924</v>
      </c>
    </row>
    <row r="152" spans="2:10" x14ac:dyDescent="0.45">
      <c r="B152" s="7" t="s">
        <v>1553</v>
      </c>
      <c r="C152" s="7" t="s">
        <v>1554</v>
      </c>
      <c r="D152" s="7" t="s">
        <v>18</v>
      </c>
      <c r="E152" s="8" t="s">
        <v>1837</v>
      </c>
      <c r="H152" s="7" t="s">
        <v>1553</v>
      </c>
      <c r="I152" s="7" t="s">
        <v>1554</v>
      </c>
      <c r="J152" s="7" t="s">
        <v>1922</v>
      </c>
    </row>
    <row r="153" spans="2:10" x14ac:dyDescent="0.45">
      <c r="B153" s="7" t="s">
        <v>1555</v>
      </c>
      <c r="C153" s="7" t="s">
        <v>1556</v>
      </c>
      <c r="D153" s="7" t="s">
        <v>18</v>
      </c>
      <c r="E153" s="8" t="s">
        <v>1895</v>
      </c>
      <c r="H153" s="7" t="s">
        <v>1555</v>
      </c>
      <c r="I153" s="7" t="s">
        <v>1556</v>
      </c>
      <c r="J153" s="7" t="s">
        <v>1929</v>
      </c>
    </row>
    <row r="154" spans="2:10" x14ac:dyDescent="0.45">
      <c r="B154" s="7" t="s">
        <v>1557</v>
      </c>
      <c r="C154" s="7" t="s">
        <v>1558</v>
      </c>
      <c r="D154" s="7" t="s">
        <v>18</v>
      </c>
      <c r="E154" s="8" t="s">
        <v>1844</v>
      </c>
      <c r="H154" s="7" t="s">
        <v>1557</v>
      </c>
      <c r="I154" s="7" t="s">
        <v>1558</v>
      </c>
      <c r="J154" s="7" t="s">
        <v>1922</v>
      </c>
    </row>
    <row r="155" spans="2:10" x14ac:dyDescent="0.45">
      <c r="B155" s="7" t="s">
        <v>1559</v>
      </c>
      <c r="C155" s="7" t="s">
        <v>1560</v>
      </c>
      <c r="D155" s="7" t="s">
        <v>18</v>
      </c>
      <c r="E155" s="8" t="s">
        <v>1844</v>
      </c>
      <c r="H155" s="7" t="s">
        <v>1559</v>
      </c>
      <c r="I155" s="7" t="s">
        <v>1560</v>
      </c>
      <c r="J155" s="7" t="s">
        <v>1930</v>
      </c>
    </row>
    <row r="156" spans="2:10" x14ac:dyDescent="0.45">
      <c r="B156" s="7" t="s">
        <v>1561</v>
      </c>
      <c r="C156" s="7" t="s">
        <v>1562</v>
      </c>
      <c r="D156" s="7" t="s">
        <v>18</v>
      </c>
      <c r="E156" s="8" t="s">
        <v>1841</v>
      </c>
      <c r="H156" s="7" t="s">
        <v>1561</v>
      </c>
      <c r="I156" s="7" t="s">
        <v>1562</v>
      </c>
      <c r="J156" s="7" t="s">
        <v>1923</v>
      </c>
    </row>
    <row r="157" spans="2:10" x14ac:dyDescent="0.45">
      <c r="B157" s="7" t="s">
        <v>1563</v>
      </c>
      <c r="C157" s="7" t="s">
        <v>1564</v>
      </c>
      <c r="D157" s="7" t="s">
        <v>18</v>
      </c>
      <c r="E157" s="8" t="s">
        <v>1847</v>
      </c>
      <c r="H157" s="7" t="s">
        <v>1563</v>
      </c>
      <c r="I157" s="7" t="s">
        <v>1564</v>
      </c>
      <c r="J157" s="7" t="s">
        <v>1924</v>
      </c>
    </row>
    <row r="158" spans="2:10" x14ac:dyDescent="0.45">
      <c r="B158" s="7" t="s">
        <v>1565</v>
      </c>
      <c r="C158" s="7" t="s">
        <v>1566</v>
      </c>
      <c r="D158" s="7" t="s">
        <v>18</v>
      </c>
      <c r="E158" s="8" t="s">
        <v>1847</v>
      </c>
      <c r="H158" s="7" t="s">
        <v>1565</v>
      </c>
      <c r="I158" s="7" t="s">
        <v>1566</v>
      </c>
      <c r="J158" s="7" t="s">
        <v>1924</v>
      </c>
    </row>
    <row r="159" spans="2:10" x14ac:dyDescent="0.45">
      <c r="B159" s="7" t="s">
        <v>1567</v>
      </c>
      <c r="C159" s="7" t="s">
        <v>1568</v>
      </c>
      <c r="D159" s="7" t="s">
        <v>18</v>
      </c>
      <c r="E159" s="8" t="s">
        <v>1847</v>
      </c>
      <c r="H159" s="7" t="s">
        <v>1567</v>
      </c>
      <c r="I159" s="7" t="s">
        <v>1568</v>
      </c>
      <c r="J159" s="7" t="s">
        <v>1924</v>
      </c>
    </row>
    <row r="160" spans="2:10" x14ac:dyDescent="0.45">
      <c r="B160" s="7" t="s">
        <v>1569</v>
      </c>
      <c r="C160" s="7" t="s">
        <v>1570</v>
      </c>
      <c r="D160" s="7" t="s">
        <v>18</v>
      </c>
      <c r="E160" s="8" t="s">
        <v>1889</v>
      </c>
      <c r="H160" s="7" t="s">
        <v>1569</v>
      </c>
      <c r="I160" s="7" t="s">
        <v>1570</v>
      </c>
      <c r="J160" s="7" t="s">
        <v>1922</v>
      </c>
    </row>
    <row r="161" spans="2:10" x14ac:dyDescent="0.45">
      <c r="B161" s="7" t="s">
        <v>1571</v>
      </c>
      <c r="C161" s="7" t="s">
        <v>1572</v>
      </c>
      <c r="D161" s="7" t="s">
        <v>18</v>
      </c>
      <c r="E161" s="8" t="s">
        <v>1849</v>
      </c>
      <c r="H161" s="7" t="s">
        <v>1571</v>
      </c>
      <c r="I161" s="7" t="s">
        <v>1572</v>
      </c>
      <c r="J161" s="7" t="s">
        <v>1931</v>
      </c>
    </row>
    <row r="162" spans="2:10" x14ac:dyDescent="0.45">
      <c r="B162" s="7" t="s">
        <v>1573</v>
      </c>
      <c r="C162" s="7" t="s">
        <v>1574</v>
      </c>
      <c r="D162" s="7" t="s">
        <v>18</v>
      </c>
      <c r="E162" s="8" t="s">
        <v>1850</v>
      </c>
      <c r="H162" s="7" t="s">
        <v>1573</v>
      </c>
      <c r="I162" s="7" t="s">
        <v>1574</v>
      </c>
      <c r="J162" s="7" t="s">
        <v>1924</v>
      </c>
    </row>
    <row r="163" spans="2:10" x14ac:dyDescent="0.45">
      <c r="B163" s="7" t="s">
        <v>1575</v>
      </c>
      <c r="C163" s="7" t="s">
        <v>1576</v>
      </c>
      <c r="D163" s="7" t="s">
        <v>18</v>
      </c>
      <c r="E163" s="8" t="s">
        <v>1850</v>
      </c>
      <c r="H163" s="7" t="s">
        <v>1575</v>
      </c>
      <c r="I163" s="7" t="s">
        <v>1576</v>
      </c>
      <c r="J163" s="7" t="s">
        <v>1924</v>
      </c>
    </row>
    <row r="164" spans="2:10" x14ac:dyDescent="0.45">
      <c r="B164" s="7" t="s">
        <v>1577</v>
      </c>
      <c r="C164" s="7" t="s">
        <v>1578</v>
      </c>
      <c r="D164" s="7" t="s">
        <v>18</v>
      </c>
      <c r="E164" s="8" t="s">
        <v>1840</v>
      </c>
      <c r="H164" s="7" t="s">
        <v>1577</v>
      </c>
      <c r="I164" s="7" t="s">
        <v>1578</v>
      </c>
      <c r="J164" s="7" t="s">
        <v>1924</v>
      </c>
    </row>
    <row r="165" spans="2:10" x14ac:dyDescent="0.45">
      <c r="B165" s="7" t="s">
        <v>1579</v>
      </c>
      <c r="C165" s="7" t="s">
        <v>1580</v>
      </c>
      <c r="D165" s="7" t="s">
        <v>18</v>
      </c>
      <c r="E165" s="8" t="s">
        <v>1847</v>
      </c>
      <c r="H165" s="7" t="s">
        <v>1579</v>
      </c>
      <c r="I165" s="7" t="s">
        <v>1580</v>
      </c>
      <c r="J165" s="7" t="s">
        <v>1928</v>
      </c>
    </row>
    <row r="166" spans="2:10" x14ac:dyDescent="0.45">
      <c r="B166" s="7" t="s">
        <v>1581</v>
      </c>
      <c r="C166" s="7" t="s">
        <v>1582</v>
      </c>
      <c r="D166" s="7" t="s">
        <v>18</v>
      </c>
      <c r="E166" s="8" t="s">
        <v>1846</v>
      </c>
      <c r="H166" s="7" t="s">
        <v>1581</v>
      </c>
      <c r="I166" s="7" t="s">
        <v>1582</v>
      </c>
      <c r="J166" s="7" t="s">
        <v>1933</v>
      </c>
    </row>
    <row r="167" spans="2:10" x14ac:dyDescent="0.45">
      <c r="B167" s="7" t="s">
        <v>1583</v>
      </c>
      <c r="C167" s="7" t="s">
        <v>1584</v>
      </c>
      <c r="D167" s="7" t="s">
        <v>18</v>
      </c>
      <c r="E167" s="8" t="s">
        <v>1857</v>
      </c>
      <c r="H167" s="7" t="s">
        <v>1583</v>
      </c>
      <c r="I167" s="7" t="s">
        <v>1584</v>
      </c>
      <c r="J167" s="7" t="s">
        <v>1926</v>
      </c>
    </row>
    <row r="168" spans="2:10" x14ac:dyDescent="0.45">
      <c r="B168" s="7" t="s">
        <v>1585</v>
      </c>
      <c r="C168" s="7" t="s">
        <v>1586</v>
      </c>
      <c r="D168" s="7" t="s">
        <v>18</v>
      </c>
      <c r="E168" s="8" t="s">
        <v>1857</v>
      </c>
      <c r="H168" s="7" t="s">
        <v>1585</v>
      </c>
      <c r="I168" s="7" t="s">
        <v>1586</v>
      </c>
      <c r="J168" s="7" t="s">
        <v>1929</v>
      </c>
    </row>
    <row r="169" spans="2:10" x14ac:dyDescent="0.45">
      <c r="B169" s="7" t="s">
        <v>1587</v>
      </c>
      <c r="C169" s="7" t="s">
        <v>1588</v>
      </c>
      <c r="D169" s="7" t="s">
        <v>18</v>
      </c>
      <c r="E169" s="8" t="s">
        <v>1848</v>
      </c>
      <c r="H169" s="7" t="s">
        <v>1587</v>
      </c>
      <c r="I169" s="7" t="s">
        <v>1588</v>
      </c>
      <c r="J169" s="7" t="s">
        <v>1924</v>
      </c>
    </row>
    <row r="170" spans="2:10" x14ac:dyDescent="0.45">
      <c r="B170" s="7" t="s">
        <v>1589</v>
      </c>
      <c r="C170" s="7" t="s">
        <v>1590</v>
      </c>
      <c r="D170" s="7" t="s">
        <v>18</v>
      </c>
      <c r="E170" s="8" t="s">
        <v>1857</v>
      </c>
      <c r="H170" s="7" t="s">
        <v>1589</v>
      </c>
      <c r="I170" s="7" t="s">
        <v>1590</v>
      </c>
      <c r="J170" s="7" t="s">
        <v>1931</v>
      </c>
    </row>
    <row r="171" spans="2:10" x14ac:dyDescent="0.45">
      <c r="B171" s="7" t="s">
        <v>1591</v>
      </c>
      <c r="C171" s="7" t="s">
        <v>1592</v>
      </c>
      <c r="D171" s="7" t="s">
        <v>18</v>
      </c>
      <c r="E171" s="8" t="s">
        <v>1858</v>
      </c>
      <c r="H171" s="7" t="s">
        <v>1591</v>
      </c>
      <c r="I171" s="7" t="s">
        <v>1592</v>
      </c>
      <c r="J171" s="7" t="s">
        <v>1922</v>
      </c>
    </row>
    <row r="172" spans="2:10" x14ac:dyDescent="0.45">
      <c r="B172" s="7" t="s">
        <v>1593</v>
      </c>
      <c r="C172" s="7" t="s">
        <v>1594</v>
      </c>
      <c r="D172" s="7" t="s">
        <v>18</v>
      </c>
      <c r="E172" s="8" t="s">
        <v>1876</v>
      </c>
      <c r="H172" s="7" t="s">
        <v>1593</v>
      </c>
      <c r="I172" s="7" t="s">
        <v>1594</v>
      </c>
      <c r="J172" s="7" t="s">
        <v>1923</v>
      </c>
    </row>
    <row r="173" spans="2:10" x14ac:dyDescent="0.45">
      <c r="B173" s="7" t="s">
        <v>1595</v>
      </c>
      <c r="C173" s="7" t="s">
        <v>1596</v>
      </c>
      <c r="D173" s="7" t="s">
        <v>18</v>
      </c>
      <c r="E173" s="8" t="s">
        <v>1896</v>
      </c>
      <c r="H173" s="7" t="s">
        <v>1595</v>
      </c>
      <c r="I173" s="7" t="s">
        <v>1596</v>
      </c>
      <c r="J173" s="7" t="s">
        <v>1925</v>
      </c>
    </row>
    <row r="174" spans="2:10" x14ac:dyDescent="0.45">
      <c r="B174" s="7" t="s">
        <v>1597</v>
      </c>
      <c r="C174" s="7" t="s">
        <v>1598</v>
      </c>
      <c r="D174" s="7" t="s">
        <v>18</v>
      </c>
      <c r="E174" s="8" t="s">
        <v>1861</v>
      </c>
      <c r="H174" s="7" t="s">
        <v>1597</v>
      </c>
      <c r="I174" s="7" t="s">
        <v>1598</v>
      </c>
      <c r="J174" s="7" t="s">
        <v>1924</v>
      </c>
    </row>
    <row r="175" spans="2:10" x14ac:dyDescent="0.45">
      <c r="B175" s="7" t="s">
        <v>1599</v>
      </c>
      <c r="C175" s="7" t="s">
        <v>1600</v>
      </c>
      <c r="D175" s="7" t="s">
        <v>26</v>
      </c>
      <c r="E175" s="8" t="s">
        <v>1897</v>
      </c>
      <c r="H175" s="7" t="s">
        <v>1599</v>
      </c>
      <c r="I175" s="7" t="s">
        <v>1600</v>
      </c>
      <c r="J175" s="7" t="s">
        <v>1924</v>
      </c>
    </row>
    <row r="176" spans="2:10" x14ac:dyDescent="0.45">
      <c r="B176" s="7" t="s">
        <v>1601</v>
      </c>
      <c r="C176" s="7" t="s">
        <v>1602</v>
      </c>
      <c r="D176" s="7" t="s">
        <v>26</v>
      </c>
      <c r="E176" s="8" t="s">
        <v>1853</v>
      </c>
      <c r="H176" s="7" t="s">
        <v>1601</v>
      </c>
      <c r="I176" s="7" t="s">
        <v>1602</v>
      </c>
      <c r="J176" s="7" t="s">
        <v>1924</v>
      </c>
    </row>
    <row r="177" spans="2:10" x14ac:dyDescent="0.45">
      <c r="B177" s="7" t="s">
        <v>1603</v>
      </c>
      <c r="C177" s="7" t="s">
        <v>1604</v>
      </c>
      <c r="D177" s="7" t="s">
        <v>26</v>
      </c>
      <c r="E177" s="8" t="s">
        <v>1875</v>
      </c>
      <c r="H177" s="7" t="s">
        <v>1603</v>
      </c>
      <c r="I177" s="7" t="s">
        <v>1604</v>
      </c>
      <c r="J177" s="7" t="s">
        <v>1924</v>
      </c>
    </row>
    <row r="178" spans="2:10" x14ac:dyDescent="0.45">
      <c r="B178" s="7" t="s">
        <v>1605</v>
      </c>
      <c r="C178" s="7" t="s">
        <v>1606</v>
      </c>
      <c r="D178" s="7" t="s">
        <v>26</v>
      </c>
      <c r="E178" s="8" t="s">
        <v>1859</v>
      </c>
      <c r="H178" s="7" t="s">
        <v>1605</v>
      </c>
      <c r="I178" s="7" t="s">
        <v>1606</v>
      </c>
      <c r="J178" s="7" t="s">
        <v>1924</v>
      </c>
    </row>
    <row r="179" spans="2:10" x14ac:dyDescent="0.45">
      <c r="B179" s="7" t="s">
        <v>1607</v>
      </c>
      <c r="C179" s="7" t="s">
        <v>1608</v>
      </c>
      <c r="D179" s="7" t="s">
        <v>26</v>
      </c>
      <c r="E179" s="8" t="s">
        <v>1898</v>
      </c>
      <c r="H179" s="7" t="s">
        <v>1607</v>
      </c>
      <c r="I179" s="7" t="s">
        <v>1608</v>
      </c>
      <c r="J179" s="7" t="s">
        <v>1924</v>
      </c>
    </row>
    <row r="180" spans="2:10" x14ac:dyDescent="0.45">
      <c r="B180" s="7" t="s">
        <v>1609</v>
      </c>
      <c r="C180" s="7" t="s">
        <v>1610</v>
      </c>
      <c r="D180" s="7" t="s">
        <v>26</v>
      </c>
      <c r="E180" s="8" t="s">
        <v>1899</v>
      </c>
      <c r="H180" s="7" t="s">
        <v>1609</v>
      </c>
      <c r="I180" s="7" t="s">
        <v>1610</v>
      </c>
      <c r="J180" s="7" t="s">
        <v>1924</v>
      </c>
    </row>
    <row r="181" spans="2:10" x14ac:dyDescent="0.45">
      <c r="B181" s="7" t="s">
        <v>1611</v>
      </c>
      <c r="C181" s="7" t="s">
        <v>1612</v>
      </c>
      <c r="D181" s="7" t="s">
        <v>26</v>
      </c>
      <c r="E181" s="8" t="s">
        <v>1839</v>
      </c>
      <c r="H181" s="7" t="s">
        <v>1611</v>
      </c>
      <c r="I181" s="7" t="s">
        <v>1612</v>
      </c>
      <c r="J181" s="7" t="s">
        <v>1924</v>
      </c>
    </row>
    <row r="182" spans="2:10" x14ac:dyDescent="0.45">
      <c r="B182" s="7" t="s">
        <v>1613</v>
      </c>
      <c r="C182" s="7" t="s">
        <v>1614</v>
      </c>
      <c r="D182" s="7" t="s">
        <v>26</v>
      </c>
      <c r="E182" s="8" t="s">
        <v>1900</v>
      </c>
      <c r="H182" s="7" t="s">
        <v>1613</v>
      </c>
      <c r="I182" s="7" t="s">
        <v>1614</v>
      </c>
      <c r="J182" s="7" t="s">
        <v>1933</v>
      </c>
    </row>
    <row r="183" spans="2:10" x14ac:dyDescent="0.45">
      <c r="B183" s="7" t="s">
        <v>1615</v>
      </c>
      <c r="C183" s="7" t="s">
        <v>1616</v>
      </c>
      <c r="D183" s="7" t="s">
        <v>26</v>
      </c>
      <c r="E183" s="8" t="s">
        <v>1841</v>
      </c>
      <c r="H183" s="7" t="s">
        <v>1615</v>
      </c>
      <c r="I183" s="7" t="s">
        <v>1616</v>
      </c>
      <c r="J183" s="7" t="s">
        <v>1922</v>
      </c>
    </row>
    <row r="184" spans="2:10" x14ac:dyDescent="0.45">
      <c r="B184" s="7" t="s">
        <v>1617</v>
      </c>
      <c r="C184" s="7" t="s">
        <v>1618</v>
      </c>
      <c r="D184" s="7" t="s">
        <v>26</v>
      </c>
      <c r="E184" s="8" t="s">
        <v>1875</v>
      </c>
      <c r="H184" s="7" t="s">
        <v>1617</v>
      </c>
      <c r="I184" s="7" t="s">
        <v>1618</v>
      </c>
      <c r="J184" s="7" t="s">
        <v>1922</v>
      </c>
    </row>
    <row r="185" spans="2:10" x14ac:dyDescent="0.45">
      <c r="B185" s="7" t="s">
        <v>1619</v>
      </c>
      <c r="C185" s="7" t="s">
        <v>1620</v>
      </c>
      <c r="D185" s="7" t="s">
        <v>26</v>
      </c>
      <c r="E185" s="8" t="s">
        <v>1901</v>
      </c>
      <c r="H185" s="7" t="s">
        <v>1619</v>
      </c>
      <c r="I185" s="7" t="s">
        <v>1620</v>
      </c>
      <c r="J185" s="7" t="s">
        <v>1922</v>
      </c>
    </row>
    <row r="186" spans="2:10" x14ac:dyDescent="0.45">
      <c r="B186" s="7" t="s">
        <v>1621</v>
      </c>
      <c r="C186" s="7" t="s">
        <v>1622</v>
      </c>
      <c r="D186" s="7" t="s">
        <v>26</v>
      </c>
      <c r="E186" s="8" t="s">
        <v>1902</v>
      </c>
      <c r="H186" s="7" t="s">
        <v>1621</v>
      </c>
      <c r="I186" s="7" t="s">
        <v>1622</v>
      </c>
      <c r="J186" s="7" t="s">
        <v>1922</v>
      </c>
    </row>
    <row r="187" spans="2:10" x14ac:dyDescent="0.45">
      <c r="B187" s="7" t="s">
        <v>1623</v>
      </c>
      <c r="C187" s="7" t="s">
        <v>1624</v>
      </c>
      <c r="D187" s="7" t="s">
        <v>26</v>
      </c>
      <c r="E187" s="8" t="s">
        <v>1844</v>
      </c>
      <c r="H187" s="7" t="s">
        <v>1623</v>
      </c>
      <c r="I187" s="7" t="s">
        <v>1624</v>
      </c>
      <c r="J187" s="7" t="s">
        <v>1922</v>
      </c>
    </row>
    <row r="188" spans="2:10" x14ac:dyDescent="0.45">
      <c r="B188" s="7" t="s">
        <v>1625</v>
      </c>
      <c r="C188" s="7" t="s">
        <v>1626</v>
      </c>
      <c r="D188" s="7" t="s">
        <v>26</v>
      </c>
      <c r="E188" s="8" t="s">
        <v>1841</v>
      </c>
      <c r="H188" s="7" t="s">
        <v>1625</v>
      </c>
      <c r="I188" s="7" t="s">
        <v>1626</v>
      </c>
      <c r="J188" s="7" t="s">
        <v>1928</v>
      </c>
    </row>
    <row r="189" spans="2:10" x14ac:dyDescent="0.45">
      <c r="B189" s="7" t="s">
        <v>1627</v>
      </c>
      <c r="C189" s="7" t="s">
        <v>1628</v>
      </c>
      <c r="D189" s="7" t="s">
        <v>26</v>
      </c>
      <c r="E189" s="8" t="s">
        <v>1841</v>
      </c>
      <c r="H189" s="7" t="s">
        <v>1627</v>
      </c>
      <c r="I189" s="7" t="s">
        <v>1628</v>
      </c>
      <c r="J189" s="7" t="s">
        <v>1926</v>
      </c>
    </row>
    <row r="190" spans="2:10" x14ac:dyDescent="0.45">
      <c r="B190" s="7" t="s">
        <v>1629</v>
      </c>
      <c r="C190" s="7" t="s">
        <v>1630</v>
      </c>
      <c r="D190" s="7" t="s">
        <v>26</v>
      </c>
      <c r="E190" s="8" t="s">
        <v>1903</v>
      </c>
      <c r="H190" s="7" t="s">
        <v>1629</v>
      </c>
      <c r="I190" s="7" t="s">
        <v>1630</v>
      </c>
      <c r="J190" s="7" t="s">
        <v>1927</v>
      </c>
    </row>
    <row r="191" spans="2:10" x14ac:dyDescent="0.45">
      <c r="B191" s="7" t="s">
        <v>1631</v>
      </c>
      <c r="C191" s="7" t="s">
        <v>1632</v>
      </c>
      <c r="D191" s="7" t="s">
        <v>26</v>
      </c>
      <c r="E191" s="8" t="s">
        <v>1904</v>
      </c>
      <c r="H191" s="7" t="s">
        <v>1631</v>
      </c>
      <c r="I191" s="7" t="s">
        <v>1632</v>
      </c>
      <c r="J191" s="7" t="s">
        <v>1927</v>
      </c>
    </row>
    <row r="192" spans="2:10" x14ac:dyDescent="0.45">
      <c r="B192" s="7" t="s">
        <v>1633</v>
      </c>
      <c r="C192" s="7" t="s">
        <v>1634</v>
      </c>
      <c r="D192" s="7" t="s">
        <v>26</v>
      </c>
      <c r="E192" s="8" t="s">
        <v>1844</v>
      </c>
      <c r="H192" s="7" t="s">
        <v>1633</v>
      </c>
      <c r="I192" s="7" t="s">
        <v>1634</v>
      </c>
      <c r="J192" s="7" t="s">
        <v>1927</v>
      </c>
    </row>
    <row r="193" spans="2:10" x14ac:dyDescent="0.45">
      <c r="B193" s="7" t="s">
        <v>1635</v>
      </c>
      <c r="C193" s="7" t="s">
        <v>1636</v>
      </c>
      <c r="D193" s="7" t="s">
        <v>26</v>
      </c>
      <c r="E193" s="8" t="s">
        <v>1905</v>
      </c>
      <c r="H193" s="7" t="s">
        <v>1635</v>
      </c>
      <c r="I193" s="7" t="s">
        <v>1636</v>
      </c>
      <c r="J193" s="7" t="s">
        <v>1924</v>
      </c>
    </row>
    <row r="194" spans="2:10" x14ac:dyDescent="0.45">
      <c r="B194" s="7" t="s">
        <v>1637</v>
      </c>
      <c r="C194" s="7" t="s">
        <v>1638</v>
      </c>
      <c r="D194" s="7" t="s">
        <v>26</v>
      </c>
      <c r="E194" s="8" t="s">
        <v>1842</v>
      </c>
      <c r="H194" s="7" t="s">
        <v>1637</v>
      </c>
      <c r="I194" s="7" t="s">
        <v>1638</v>
      </c>
      <c r="J194" s="7" t="s">
        <v>1929</v>
      </c>
    </row>
    <row r="195" spans="2:10" x14ac:dyDescent="0.45">
      <c r="B195" s="7" t="s">
        <v>1639</v>
      </c>
      <c r="C195" s="7" t="s">
        <v>1640</v>
      </c>
      <c r="D195" s="7" t="s">
        <v>26</v>
      </c>
      <c r="E195" s="8" t="s">
        <v>1906</v>
      </c>
      <c r="H195" s="7" t="s">
        <v>1639</v>
      </c>
      <c r="I195" s="7" t="s">
        <v>1640</v>
      </c>
      <c r="J195" s="7" t="s">
        <v>1922</v>
      </c>
    </row>
    <row r="196" spans="2:10" x14ac:dyDescent="0.45">
      <c r="B196" s="7" t="s">
        <v>1641</v>
      </c>
      <c r="C196" s="7" t="s">
        <v>1642</v>
      </c>
      <c r="D196" s="7" t="s">
        <v>26</v>
      </c>
      <c r="E196" s="8" t="s">
        <v>1847</v>
      </c>
      <c r="H196" s="7" t="s">
        <v>1641</v>
      </c>
      <c r="I196" s="7" t="s">
        <v>1642</v>
      </c>
      <c r="J196" s="7" t="s">
        <v>1924</v>
      </c>
    </row>
    <row r="197" spans="2:10" x14ac:dyDescent="0.45">
      <c r="B197" s="7" t="s">
        <v>1643</v>
      </c>
      <c r="C197" s="7" t="s">
        <v>1644</v>
      </c>
      <c r="D197" s="7" t="s">
        <v>26</v>
      </c>
      <c r="E197" s="8" t="s">
        <v>1847</v>
      </c>
      <c r="H197" s="7" t="s">
        <v>1643</v>
      </c>
      <c r="I197" s="7" t="s">
        <v>1644</v>
      </c>
      <c r="J197" s="7" t="s">
        <v>1922</v>
      </c>
    </row>
    <row r="198" spans="2:10" x14ac:dyDescent="0.45">
      <c r="B198" s="7" t="s">
        <v>1645</v>
      </c>
      <c r="C198" s="7" t="s">
        <v>1646</v>
      </c>
      <c r="D198" s="7" t="s">
        <v>26</v>
      </c>
      <c r="E198" s="8" t="s">
        <v>1848</v>
      </c>
      <c r="H198" s="7" t="s">
        <v>1645</v>
      </c>
      <c r="I198" s="7" t="s">
        <v>1646</v>
      </c>
      <c r="J198" s="7" t="s">
        <v>1924</v>
      </c>
    </row>
    <row r="199" spans="2:10" x14ac:dyDescent="0.45">
      <c r="B199" s="7" t="s">
        <v>1647</v>
      </c>
      <c r="C199" s="7" t="s">
        <v>1648</v>
      </c>
      <c r="D199" s="7" t="s">
        <v>26</v>
      </c>
      <c r="E199" s="8" t="s">
        <v>1847</v>
      </c>
      <c r="H199" s="7" t="s">
        <v>1647</v>
      </c>
      <c r="I199" s="7" t="s">
        <v>1648</v>
      </c>
      <c r="J199" s="7" t="s">
        <v>1922</v>
      </c>
    </row>
    <row r="200" spans="2:10" x14ac:dyDescent="0.45">
      <c r="B200" s="7" t="s">
        <v>1649</v>
      </c>
      <c r="C200" s="7" t="s">
        <v>1650</v>
      </c>
      <c r="D200" s="7" t="s">
        <v>26</v>
      </c>
      <c r="E200" s="8" t="s">
        <v>1850</v>
      </c>
      <c r="H200" s="7" t="s">
        <v>1649</v>
      </c>
      <c r="I200" s="7" t="s">
        <v>1650</v>
      </c>
      <c r="J200" s="7" t="s">
        <v>1924</v>
      </c>
    </row>
    <row r="201" spans="2:10" x14ac:dyDescent="0.45">
      <c r="B201" s="7" t="s">
        <v>1651</v>
      </c>
      <c r="C201" s="7" t="s">
        <v>1652</v>
      </c>
      <c r="D201" s="7" t="s">
        <v>26</v>
      </c>
      <c r="E201" s="8" t="s">
        <v>1842</v>
      </c>
      <c r="H201" s="7" t="s">
        <v>1651</v>
      </c>
      <c r="I201" s="7" t="s">
        <v>1652</v>
      </c>
      <c r="J201" s="7" t="s">
        <v>1929</v>
      </c>
    </row>
    <row r="202" spans="2:10" x14ac:dyDescent="0.45">
      <c r="B202" s="7" t="s">
        <v>1653</v>
      </c>
      <c r="C202" s="7" t="s">
        <v>1654</v>
      </c>
      <c r="D202" s="7" t="s">
        <v>26</v>
      </c>
      <c r="E202" s="8" t="s">
        <v>1907</v>
      </c>
      <c r="H202" s="7" t="s">
        <v>1653</v>
      </c>
      <c r="I202" s="7" t="s">
        <v>1654</v>
      </c>
      <c r="J202" s="7" t="s">
        <v>1931</v>
      </c>
    </row>
    <row r="203" spans="2:10" x14ac:dyDescent="0.45">
      <c r="B203" s="7" t="s">
        <v>1655</v>
      </c>
      <c r="C203" s="7" t="s">
        <v>1656</v>
      </c>
      <c r="D203" s="7" t="s">
        <v>26</v>
      </c>
      <c r="E203" s="8" t="s">
        <v>1854</v>
      </c>
      <c r="H203" s="7" t="s">
        <v>1655</v>
      </c>
      <c r="I203" s="7" t="s">
        <v>1656</v>
      </c>
      <c r="J203" s="7" t="s">
        <v>1922</v>
      </c>
    </row>
    <row r="204" spans="2:10" x14ac:dyDescent="0.45">
      <c r="B204" s="7" t="s">
        <v>1657</v>
      </c>
      <c r="C204" s="7" t="s">
        <v>1658</v>
      </c>
      <c r="D204" s="7" t="s">
        <v>26</v>
      </c>
      <c r="E204" s="8" t="s">
        <v>1857</v>
      </c>
      <c r="H204" s="7" t="s">
        <v>1657</v>
      </c>
      <c r="I204" s="7" t="s">
        <v>1658</v>
      </c>
      <c r="J204" s="7" t="s">
        <v>1922</v>
      </c>
    </row>
    <row r="205" spans="2:10" x14ac:dyDescent="0.45">
      <c r="B205" s="7" t="s">
        <v>1659</v>
      </c>
      <c r="C205" s="7" t="s">
        <v>1660</v>
      </c>
      <c r="D205" s="7" t="s">
        <v>26</v>
      </c>
      <c r="E205" s="8" t="s">
        <v>1849</v>
      </c>
      <c r="H205" s="7" t="s">
        <v>1659</v>
      </c>
      <c r="I205" s="7" t="s">
        <v>1660</v>
      </c>
      <c r="J205" s="7" t="s">
        <v>1925</v>
      </c>
    </row>
    <row r="206" spans="2:10" x14ac:dyDescent="0.45">
      <c r="B206" s="7" t="s">
        <v>1661</v>
      </c>
      <c r="C206" s="7" t="s">
        <v>1662</v>
      </c>
      <c r="D206" s="7" t="s">
        <v>26</v>
      </c>
      <c r="E206" s="8" t="s">
        <v>1847</v>
      </c>
      <c r="H206" s="7" t="s">
        <v>1661</v>
      </c>
      <c r="I206" s="7" t="s">
        <v>1662</v>
      </c>
      <c r="J206" s="7" t="s">
        <v>1924</v>
      </c>
    </row>
    <row r="207" spans="2:10" x14ac:dyDescent="0.45">
      <c r="B207" s="7" t="s">
        <v>1663</v>
      </c>
      <c r="C207" s="7" t="s">
        <v>1664</v>
      </c>
      <c r="D207" s="7" t="s">
        <v>26</v>
      </c>
      <c r="E207" s="8" t="s">
        <v>1857</v>
      </c>
      <c r="H207" s="7" t="s">
        <v>1663</v>
      </c>
      <c r="I207" s="7" t="s">
        <v>1664</v>
      </c>
      <c r="J207" s="7" t="s">
        <v>1928</v>
      </c>
    </row>
    <row r="208" spans="2:10" x14ac:dyDescent="0.45">
      <c r="B208" s="7" t="s">
        <v>1665</v>
      </c>
      <c r="C208" s="7" t="s">
        <v>1666</v>
      </c>
      <c r="D208" s="7" t="s">
        <v>26</v>
      </c>
      <c r="E208" s="8" t="s">
        <v>1902</v>
      </c>
      <c r="H208" s="7" t="s">
        <v>1665</v>
      </c>
      <c r="I208" s="7" t="s">
        <v>1666</v>
      </c>
      <c r="J208" s="7" t="s">
        <v>1924</v>
      </c>
    </row>
    <row r="209" spans="2:10" x14ac:dyDescent="0.45">
      <c r="B209" s="7" t="s">
        <v>1667</v>
      </c>
      <c r="C209" s="7" t="s">
        <v>1668</v>
      </c>
      <c r="D209" s="7" t="s">
        <v>26</v>
      </c>
      <c r="E209" s="8" t="s">
        <v>1848</v>
      </c>
      <c r="H209" s="7" t="s">
        <v>1667</v>
      </c>
      <c r="I209" s="7" t="s">
        <v>1668</v>
      </c>
      <c r="J209" s="7" t="s">
        <v>1922</v>
      </c>
    </row>
    <row r="210" spans="2:10" x14ac:dyDescent="0.45">
      <c r="B210" s="7" t="s">
        <v>1669</v>
      </c>
      <c r="C210" s="7" t="s">
        <v>1670</v>
      </c>
      <c r="D210" s="7" t="s">
        <v>26</v>
      </c>
      <c r="E210" s="8" t="s">
        <v>1861</v>
      </c>
      <c r="H210" s="7" t="s">
        <v>1669</v>
      </c>
      <c r="I210" s="7" t="s">
        <v>1670</v>
      </c>
      <c r="J210" s="7" t="s">
        <v>1924</v>
      </c>
    </row>
    <row r="211" spans="2:10" x14ac:dyDescent="0.45">
      <c r="B211" s="7" t="s">
        <v>1671</v>
      </c>
      <c r="C211" s="7" t="s">
        <v>1672</v>
      </c>
      <c r="D211" s="7" t="s">
        <v>476</v>
      </c>
      <c r="E211" s="8" t="s">
        <v>1887</v>
      </c>
      <c r="H211" s="7" t="s">
        <v>1671</v>
      </c>
      <c r="I211" s="7" t="s">
        <v>1672</v>
      </c>
      <c r="J211" s="7" t="s">
        <v>1924</v>
      </c>
    </row>
    <row r="212" spans="2:10" x14ac:dyDescent="0.45">
      <c r="B212" s="7" t="s">
        <v>1673</v>
      </c>
      <c r="C212" s="7" t="s">
        <v>1674</v>
      </c>
      <c r="D212" s="7" t="s">
        <v>476</v>
      </c>
      <c r="E212" s="8" t="s">
        <v>1844</v>
      </c>
      <c r="H212" s="7" t="s">
        <v>1673</v>
      </c>
      <c r="I212" s="7" t="s">
        <v>1674</v>
      </c>
      <c r="J212" s="7" t="s">
        <v>1930</v>
      </c>
    </row>
    <row r="213" spans="2:10" x14ac:dyDescent="0.45">
      <c r="B213" s="7" t="s">
        <v>1675</v>
      </c>
      <c r="C213" s="7" t="s">
        <v>1676</v>
      </c>
      <c r="D213" s="7" t="s">
        <v>476</v>
      </c>
      <c r="E213" s="8" t="s">
        <v>1908</v>
      </c>
      <c r="H213" s="7" t="s">
        <v>1675</v>
      </c>
      <c r="I213" s="7" t="s">
        <v>1676</v>
      </c>
      <c r="J213" s="7" t="s">
        <v>1924</v>
      </c>
    </row>
    <row r="214" spans="2:10" x14ac:dyDescent="0.45">
      <c r="B214" s="7" t="s">
        <v>1677</v>
      </c>
      <c r="C214" s="7" t="s">
        <v>1678</v>
      </c>
      <c r="D214" s="7" t="s">
        <v>476</v>
      </c>
      <c r="E214" s="8" t="s">
        <v>1846</v>
      </c>
      <c r="H214" s="7" t="s">
        <v>1677</v>
      </c>
      <c r="I214" s="7" t="s">
        <v>1678</v>
      </c>
      <c r="J214" s="7" t="s">
        <v>1924</v>
      </c>
    </row>
    <row r="215" spans="2:10" x14ac:dyDescent="0.45">
      <c r="B215" s="7" t="s">
        <v>1679</v>
      </c>
      <c r="C215" s="7" t="s">
        <v>1680</v>
      </c>
      <c r="D215" s="7" t="s">
        <v>476</v>
      </c>
      <c r="E215" s="8" t="s">
        <v>1873</v>
      </c>
      <c r="H215" s="7" t="s">
        <v>1679</v>
      </c>
      <c r="I215" s="7" t="s">
        <v>1680</v>
      </c>
      <c r="J215" s="7" t="s">
        <v>1922</v>
      </c>
    </row>
    <row r="216" spans="2:10" x14ac:dyDescent="0.45">
      <c r="B216" s="7" t="s">
        <v>1681</v>
      </c>
      <c r="C216" s="7" t="s">
        <v>1682</v>
      </c>
      <c r="D216" s="7" t="s">
        <v>476</v>
      </c>
      <c r="E216" s="8" t="s">
        <v>1859</v>
      </c>
      <c r="H216" s="7" t="s">
        <v>1681</v>
      </c>
      <c r="I216" s="7" t="s">
        <v>1682</v>
      </c>
      <c r="J216" s="7" t="s">
        <v>1922</v>
      </c>
    </row>
    <row r="217" spans="2:10" x14ac:dyDescent="0.45">
      <c r="B217" s="7" t="s">
        <v>1683</v>
      </c>
      <c r="C217" s="7" t="s">
        <v>1684</v>
      </c>
      <c r="D217" s="7" t="s">
        <v>476</v>
      </c>
      <c r="E217" s="8" t="s">
        <v>1853</v>
      </c>
      <c r="H217" s="7" t="s">
        <v>1683</v>
      </c>
      <c r="I217" s="7" t="s">
        <v>1684</v>
      </c>
      <c r="J217" s="7" t="s">
        <v>1922</v>
      </c>
    </row>
    <row r="218" spans="2:10" x14ac:dyDescent="0.45">
      <c r="B218" s="7" t="s">
        <v>1685</v>
      </c>
      <c r="C218" s="7" t="s">
        <v>1686</v>
      </c>
      <c r="D218" s="7" t="s">
        <v>476</v>
      </c>
      <c r="E218" s="8" t="s">
        <v>1859</v>
      </c>
      <c r="H218" s="7" t="s">
        <v>1685</v>
      </c>
      <c r="I218" s="7" t="s">
        <v>1686</v>
      </c>
      <c r="J218" s="7" t="s">
        <v>1922</v>
      </c>
    </row>
    <row r="219" spans="2:10" x14ac:dyDescent="0.45">
      <c r="B219" s="7" t="s">
        <v>1687</v>
      </c>
      <c r="C219" s="7" t="s">
        <v>1688</v>
      </c>
      <c r="D219" s="7" t="s">
        <v>476</v>
      </c>
      <c r="E219" s="8" t="s">
        <v>1877</v>
      </c>
      <c r="H219" s="7" t="s">
        <v>1687</v>
      </c>
      <c r="I219" s="7" t="s">
        <v>1688</v>
      </c>
      <c r="J219" s="7" t="s">
        <v>1922</v>
      </c>
    </row>
    <row r="220" spans="2:10" x14ac:dyDescent="0.45">
      <c r="B220" s="7" t="s">
        <v>1689</v>
      </c>
      <c r="C220" s="7" t="s">
        <v>1690</v>
      </c>
      <c r="D220" s="7" t="s">
        <v>476</v>
      </c>
      <c r="E220" s="8" t="s">
        <v>1843</v>
      </c>
      <c r="H220" s="7" t="s">
        <v>1689</v>
      </c>
      <c r="I220" s="7" t="s">
        <v>1690</v>
      </c>
      <c r="J220" s="7" t="s">
        <v>1922</v>
      </c>
    </row>
    <row r="221" spans="2:10" x14ac:dyDescent="0.45">
      <c r="B221" s="7" t="s">
        <v>1691</v>
      </c>
      <c r="C221" s="7" t="s">
        <v>1692</v>
      </c>
      <c r="D221" s="7" t="s">
        <v>476</v>
      </c>
      <c r="E221" s="8" t="s">
        <v>1859</v>
      </c>
      <c r="H221" s="7" t="s">
        <v>1691</v>
      </c>
      <c r="I221" s="7" t="s">
        <v>1692</v>
      </c>
      <c r="J221" s="7" t="s">
        <v>1922</v>
      </c>
    </row>
    <row r="222" spans="2:10" x14ac:dyDescent="0.45">
      <c r="B222" s="7" t="s">
        <v>1693</v>
      </c>
      <c r="C222" s="7" t="s">
        <v>1694</v>
      </c>
      <c r="D222" s="7" t="s">
        <v>476</v>
      </c>
      <c r="E222" s="8" t="s">
        <v>1853</v>
      </c>
      <c r="H222" s="7" t="s">
        <v>1693</v>
      </c>
      <c r="I222" s="7" t="s">
        <v>1694</v>
      </c>
      <c r="J222" s="7" t="s">
        <v>1922</v>
      </c>
    </row>
    <row r="223" spans="2:10" x14ac:dyDescent="0.45">
      <c r="B223" s="7" t="s">
        <v>1695</v>
      </c>
      <c r="C223" s="7" t="s">
        <v>1696</v>
      </c>
      <c r="D223" s="7" t="s">
        <v>476</v>
      </c>
      <c r="E223" s="8" t="s">
        <v>1843</v>
      </c>
      <c r="H223" s="7" t="s">
        <v>1695</v>
      </c>
      <c r="I223" s="7" t="s">
        <v>1696</v>
      </c>
      <c r="J223" s="7" t="s">
        <v>1922</v>
      </c>
    </row>
    <row r="224" spans="2:10" x14ac:dyDescent="0.45">
      <c r="B224" s="7" t="s">
        <v>1697</v>
      </c>
      <c r="C224" s="7" t="s">
        <v>1698</v>
      </c>
      <c r="D224" s="7" t="s">
        <v>476</v>
      </c>
      <c r="E224" s="8" t="s">
        <v>1909</v>
      </c>
      <c r="H224" s="7" t="s">
        <v>1697</v>
      </c>
      <c r="I224" s="7" t="s">
        <v>1698</v>
      </c>
      <c r="J224" s="7" t="s">
        <v>1922</v>
      </c>
    </row>
    <row r="225" spans="2:10" x14ac:dyDescent="0.45">
      <c r="B225" s="7" t="s">
        <v>1699</v>
      </c>
      <c r="C225" s="7" t="s">
        <v>1700</v>
      </c>
      <c r="D225" s="7" t="s">
        <v>476</v>
      </c>
      <c r="E225" s="8" t="s">
        <v>1853</v>
      </c>
      <c r="H225" s="7" t="s">
        <v>1699</v>
      </c>
      <c r="I225" s="7" t="s">
        <v>1700</v>
      </c>
      <c r="J225" s="7" t="s">
        <v>1923</v>
      </c>
    </row>
    <row r="226" spans="2:10" x14ac:dyDescent="0.45">
      <c r="B226" s="7" t="s">
        <v>1701</v>
      </c>
      <c r="C226" s="7" t="s">
        <v>1702</v>
      </c>
      <c r="D226" s="7" t="s">
        <v>476</v>
      </c>
      <c r="E226" s="8" t="s">
        <v>1910</v>
      </c>
      <c r="H226" s="7" t="s">
        <v>1701</v>
      </c>
      <c r="I226" s="7" t="s">
        <v>1702</v>
      </c>
      <c r="J226" s="7" t="s">
        <v>1923</v>
      </c>
    </row>
    <row r="227" spans="2:10" x14ac:dyDescent="0.45">
      <c r="B227" s="7" t="s">
        <v>1703</v>
      </c>
      <c r="C227" s="7" t="s">
        <v>1704</v>
      </c>
      <c r="D227" s="7" t="s">
        <v>476</v>
      </c>
      <c r="E227" s="8" t="s">
        <v>1911</v>
      </c>
      <c r="H227" s="7" t="s">
        <v>1703</v>
      </c>
      <c r="I227" s="7" t="s">
        <v>1704</v>
      </c>
      <c r="J227" s="7" t="s">
        <v>1923</v>
      </c>
    </row>
    <row r="228" spans="2:10" x14ac:dyDescent="0.45">
      <c r="B228" s="7" t="s">
        <v>1705</v>
      </c>
      <c r="C228" s="7" t="s">
        <v>1706</v>
      </c>
      <c r="D228" s="7" t="s">
        <v>476</v>
      </c>
      <c r="E228" s="8" t="s">
        <v>1902</v>
      </c>
      <c r="H228" s="7" t="s">
        <v>1705</v>
      </c>
      <c r="I228" s="7" t="s">
        <v>1706</v>
      </c>
      <c r="J228" s="7" t="s">
        <v>1928</v>
      </c>
    </row>
    <row r="229" spans="2:10" x14ac:dyDescent="0.45">
      <c r="B229" s="7" t="s">
        <v>1707</v>
      </c>
      <c r="C229" s="7" t="s">
        <v>1708</v>
      </c>
      <c r="D229" s="7" t="s">
        <v>476</v>
      </c>
      <c r="E229" s="8" t="s">
        <v>1841</v>
      </c>
      <c r="H229" s="7" t="s">
        <v>1707</v>
      </c>
      <c r="I229" s="7" t="s">
        <v>1708</v>
      </c>
      <c r="J229" s="7" t="s">
        <v>1928</v>
      </c>
    </row>
    <row r="230" spans="2:10" x14ac:dyDescent="0.45">
      <c r="B230" s="7" t="s">
        <v>1709</v>
      </c>
      <c r="C230" s="7" t="s">
        <v>1710</v>
      </c>
      <c r="D230" s="7" t="s">
        <v>476</v>
      </c>
      <c r="E230" s="8" t="s">
        <v>1911</v>
      </c>
      <c r="H230" s="7" t="s">
        <v>1709</v>
      </c>
      <c r="I230" s="7" t="s">
        <v>1710</v>
      </c>
      <c r="J230" s="7" t="s">
        <v>1925</v>
      </c>
    </row>
    <row r="231" spans="2:10" x14ac:dyDescent="0.45">
      <c r="B231" s="7" t="s">
        <v>1711</v>
      </c>
      <c r="C231" s="7" t="s">
        <v>1712</v>
      </c>
      <c r="D231" s="7" t="s">
        <v>476</v>
      </c>
      <c r="E231" s="8" t="s">
        <v>1912</v>
      </c>
      <c r="H231" s="7" t="s">
        <v>1711</v>
      </c>
      <c r="I231" s="7" t="s">
        <v>1712</v>
      </c>
      <c r="J231" s="7" t="s">
        <v>1934</v>
      </c>
    </row>
    <row r="232" spans="2:10" x14ac:dyDescent="0.45">
      <c r="B232" s="7" t="s">
        <v>552</v>
      </c>
      <c r="C232" s="7" t="s">
        <v>1713</v>
      </c>
      <c r="D232" s="7" t="s">
        <v>476</v>
      </c>
      <c r="E232" s="8" t="s">
        <v>1913</v>
      </c>
      <c r="H232" s="7" t="s">
        <v>552</v>
      </c>
      <c r="I232" s="7" t="s">
        <v>1713</v>
      </c>
      <c r="J232" s="7" t="s">
        <v>1926</v>
      </c>
    </row>
    <row r="233" spans="2:10" x14ac:dyDescent="0.45">
      <c r="B233" s="7" t="s">
        <v>1714</v>
      </c>
      <c r="C233" s="7" t="s">
        <v>1715</v>
      </c>
      <c r="D233" s="7" t="s">
        <v>476</v>
      </c>
      <c r="E233" s="8" t="s">
        <v>1843</v>
      </c>
      <c r="H233" s="7" t="s">
        <v>1714</v>
      </c>
      <c r="I233" s="7" t="s">
        <v>1715</v>
      </c>
      <c r="J233" s="7" t="s">
        <v>1924</v>
      </c>
    </row>
    <row r="234" spans="2:10" x14ac:dyDescent="0.45">
      <c r="B234" s="7" t="s">
        <v>1716</v>
      </c>
      <c r="C234" s="7" t="s">
        <v>1717</v>
      </c>
      <c r="D234" s="7" t="s">
        <v>476</v>
      </c>
      <c r="E234" s="8" t="s">
        <v>1852</v>
      </c>
      <c r="H234" s="7" t="s">
        <v>1716</v>
      </c>
      <c r="I234" s="7" t="s">
        <v>1717</v>
      </c>
      <c r="J234" s="7" t="s">
        <v>1924</v>
      </c>
    </row>
    <row r="235" spans="2:10" x14ac:dyDescent="0.45">
      <c r="B235" s="7" t="s">
        <v>1718</v>
      </c>
      <c r="C235" s="7" t="s">
        <v>1719</v>
      </c>
      <c r="D235" s="7" t="s">
        <v>476</v>
      </c>
      <c r="E235" s="8" t="s">
        <v>1836</v>
      </c>
      <c r="H235" s="7" t="s">
        <v>1718</v>
      </c>
      <c r="I235" s="7" t="s">
        <v>1719</v>
      </c>
      <c r="J235" s="7" t="s">
        <v>1924</v>
      </c>
    </row>
    <row r="236" spans="2:10" x14ac:dyDescent="0.45">
      <c r="B236" s="7" t="s">
        <v>1720</v>
      </c>
      <c r="C236" s="7" t="s">
        <v>1721</v>
      </c>
      <c r="D236" s="7" t="s">
        <v>476</v>
      </c>
      <c r="E236" s="8" t="s">
        <v>1914</v>
      </c>
      <c r="H236" s="7" t="s">
        <v>1720</v>
      </c>
      <c r="I236" s="7" t="s">
        <v>1721</v>
      </c>
      <c r="J236" s="7" t="s">
        <v>1924</v>
      </c>
    </row>
    <row r="237" spans="2:10" x14ac:dyDescent="0.45">
      <c r="B237" s="7" t="s">
        <v>1722</v>
      </c>
      <c r="C237" s="7" t="s">
        <v>1723</v>
      </c>
      <c r="D237" s="7" t="s">
        <v>476</v>
      </c>
      <c r="E237" s="8" t="s">
        <v>1915</v>
      </c>
      <c r="H237" s="7" t="s">
        <v>1722</v>
      </c>
      <c r="I237" s="7" t="s">
        <v>1723</v>
      </c>
      <c r="J237" s="7" t="s">
        <v>1924</v>
      </c>
    </row>
    <row r="238" spans="2:10" x14ac:dyDescent="0.45">
      <c r="B238" s="7" t="s">
        <v>1724</v>
      </c>
      <c r="C238" s="7" t="s">
        <v>1725</v>
      </c>
      <c r="D238" s="7" t="s">
        <v>476</v>
      </c>
      <c r="E238" s="8" t="s">
        <v>1852</v>
      </c>
      <c r="H238" s="7" t="s">
        <v>1724</v>
      </c>
      <c r="I238" s="7" t="s">
        <v>1725</v>
      </c>
      <c r="J238" s="7" t="s">
        <v>1924</v>
      </c>
    </row>
    <row r="239" spans="2:10" x14ac:dyDescent="0.45">
      <c r="B239" s="7" t="s">
        <v>1726</v>
      </c>
      <c r="C239" s="7" t="s">
        <v>1727</v>
      </c>
      <c r="D239" s="7" t="s">
        <v>476</v>
      </c>
      <c r="E239" s="8" t="s">
        <v>1843</v>
      </c>
      <c r="H239" s="7" t="s">
        <v>1726</v>
      </c>
      <c r="I239" s="7" t="s">
        <v>1727</v>
      </c>
      <c r="J239" s="7" t="s">
        <v>1924</v>
      </c>
    </row>
    <row r="240" spans="2:10" x14ac:dyDescent="0.45">
      <c r="B240" s="7" t="s">
        <v>1728</v>
      </c>
      <c r="C240" s="7" t="s">
        <v>1729</v>
      </c>
      <c r="D240" s="7" t="s">
        <v>476</v>
      </c>
      <c r="E240" s="8" t="s">
        <v>1845</v>
      </c>
      <c r="H240" s="7" t="s">
        <v>1728</v>
      </c>
      <c r="I240" s="7" t="s">
        <v>1729</v>
      </c>
      <c r="J240" s="7" t="s">
        <v>1924</v>
      </c>
    </row>
    <row r="241" spans="2:10" x14ac:dyDescent="0.45">
      <c r="B241" s="7" t="s">
        <v>1730</v>
      </c>
      <c r="C241" s="7" t="s">
        <v>1731</v>
      </c>
      <c r="D241" s="7" t="s">
        <v>476</v>
      </c>
      <c r="E241" s="8" t="s">
        <v>1916</v>
      </c>
      <c r="H241" s="7" t="s">
        <v>1730</v>
      </c>
      <c r="I241" s="7" t="s">
        <v>1731</v>
      </c>
      <c r="J241" s="7" t="s">
        <v>1924</v>
      </c>
    </row>
    <row r="242" spans="2:10" x14ac:dyDescent="0.45">
      <c r="B242" s="7" t="s">
        <v>1732</v>
      </c>
      <c r="C242" s="7" t="s">
        <v>1733</v>
      </c>
      <c r="D242" s="7" t="s">
        <v>476</v>
      </c>
      <c r="E242" s="8" t="s">
        <v>1889</v>
      </c>
      <c r="H242" s="7" t="s">
        <v>1732</v>
      </c>
      <c r="I242" s="7" t="s">
        <v>1733</v>
      </c>
      <c r="J242" s="7" t="s">
        <v>1922</v>
      </c>
    </row>
    <row r="243" spans="2:10" x14ac:dyDescent="0.45">
      <c r="B243" s="7" t="s">
        <v>1734</v>
      </c>
      <c r="C243" s="7" t="s">
        <v>1735</v>
      </c>
      <c r="D243" s="7" t="s">
        <v>476</v>
      </c>
      <c r="E243" s="8" t="s">
        <v>1889</v>
      </c>
      <c r="H243" s="7" t="s">
        <v>1734</v>
      </c>
      <c r="I243" s="7" t="s">
        <v>1735</v>
      </c>
      <c r="J243" s="7" t="s">
        <v>1922</v>
      </c>
    </row>
    <row r="244" spans="2:10" x14ac:dyDescent="0.45">
      <c r="B244" s="7" t="s">
        <v>1736</v>
      </c>
      <c r="C244" s="7" t="s">
        <v>1737</v>
      </c>
      <c r="D244" s="7" t="s">
        <v>476</v>
      </c>
      <c r="E244" s="8" t="s">
        <v>1917</v>
      </c>
      <c r="H244" s="7" t="s">
        <v>1736</v>
      </c>
      <c r="I244" s="7" t="s">
        <v>1737</v>
      </c>
      <c r="J244" s="7" t="s">
        <v>1924</v>
      </c>
    </row>
    <row r="245" spans="2:10" x14ac:dyDescent="0.45">
      <c r="B245" s="7" t="s">
        <v>1738</v>
      </c>
      <c r="C245" s="7" t="s">
        <v>1739</v>
      </c>
      <c r="D245" s="7" t="s">
        <v>476</v>
      </c>
      <c r="E245" s="8" t="s">
        <v>1917</v>
      </c>
      <c r="H245" s="7" t="s">
        <v>1738</v>
      </c>
      <c r="I245" s="7" t="s">
        <v>1739</v>
      </c>
      <c r="J245" s="7" t="s">
        <v>1922</v>
      </c>
    </row>
    <row r="246" spans="2:10" x14ac:dyDescent="0.45">
      <c r="B246" s="7" t="s">
        <v>1740</v>
      </c>
      <c r="C246" s="7" t="s">
        <v>1741</v>
      </c>
      <c r="D246" s="7" t="s">
        <v>476</v>
      </c>
      <c r="E246" s="8" t="s">
        <v>1917</v>
      </c>
      <c r="H246" s="7" t="s">
        <v>1740</v>
      </c>
      <c r="I246" s="7" t="s">
        <v>1741</v>
      </c>
      <c r="J246" s="7" t="s">
        <v>1924</v>
      </c>
    </row>
    <row r="247" spans="2:10" x14ac:dyDescent="0.45">
      <c r="B247" s="7" t="s">
        <v>1742</v>
      </c>
      <c r="C247" s="7" t="s">
        <v>1743</v>
      </c>
      <c r="D247" s="7" t="s">
        <v>476</v>
      </c>
      <c r="E247" s="8" t="s">
        <v>1858</v>
      </c>
      <c r="H247" s="7" t="s">
        <v>1742</v>
      </c>
      <c r="I247" s="7" t="s">
        <v>1743</v>
      </c>
      <c r="J247" s="7" t="s">
        <v>1924</v>
      </c>
    </row>
    <row r="248" spans="2:10" x14ac:dyDescent="0.45">
      <c r="B248" s="7" t="s">
        <v>1744</v>
      </c>
      <c r="C248" s="7" t="s">
        <v>1745</v>
      </c>
      <c r="D248" s="7" t="s">
        <v>476</v>
      </c>
      <c r="E248" s="8" t="s">
        <v>1854</v>
      </c>
      <c r="H248" s="7" t="s">
        <v>1744</v>
      </c>
      <c r="I248" s="7" t="s">
        <v>1745</v>
      </c>
      <c r="J248" s="7" t="s">
        <v>1926</v>
      </c>
    </row>
    <row r="249" spans="2:10" x14ac:dyDescent="0.45">
      <c r="B249" s="7" t="s">
        <v>1746</v>
      </c>
      <c r="C249" s="7" t="s">
        <v>1747</v>
      </c>
      <c r="D249" s="7" t="s">
        <v>476</v>
      </c>
      <c r="E249" s="8" t="s">
        <v>1860</v>
      </c>
      <c r="H249" s="7" t="s">
        <v>1746</v>
      </c>
      <c r="I249" s="7" t="s">
        <v>1747</v>
      </c>
      <c r="J249" s="7" t="s">
        <v>1924</v>
      </c>
    </row>
    <row r="250" spans="2:10" x14ac:dyDescent="0.45">
      <c r="B250" s="7" t="s">
        <v>1748</v>
      </c>
      <c r="C250" s="7" t="s">
        <v>1749</v>
      </c>
      <c r="D250" s="7" t="s">
        <v>476</v>
      </c>
      <c r="E250" s="8" t="s">
        <v>1860</v>
      </c>
      <c r="H250" s="7" t="s">
        <v>1748</v>
      </c>
      <c r="I250" s="7" t="s">
        <v>1749</v>
      </c>
      <c r="J250" s="7" t="s">
        <v>1935</v>
      </c>
    </row>
    <row r="251" spans="2:10" x14ac:dyDescent="0.45">
      <c r="B251" s="7" t="s">
        <v>1750</v>
      </c>
      <c r="C251" s="7" t="s">
        <v>1751</v>
      </c>
      <c r="D251" s="7" t="s">
        <v>476</v>
      </c>
      <c r="E251" s="8" t="s">
        <v>1841</v>
      </c>
      <c r="H251" s="7" t="s">
        <v>1750</v>
      </c>
      <c r="I251" s="7" t="s">
        <v>1751</v>
      </c>
      <c r="J251" s="7" t="s">
        <v>1929</v>
      </c>
    </row>
    <row r="252" spans="2:10" x14ac:dyDescent="0.45">
      <c r="B252" s="7" t="s">
        <v>1752</v>
      </c>
      <c r="C252" s="7" t="s">
        <v>1753</v>
      </c>
      <c r="D252" s="7" t="s">
        <v>476</v>
      </c>
      <c r="E252" s="8" t="s">
        <v>1853</v>
      </c>
      <c r="H252" s="7" t="s">
        <v>1752</v>
      </c>
      <c r="I252" s="7" t="s">
        <v>1753</v>
      </c>
      <c r="J252" s="7" t="s">
        <v>1922</v>
      </c>
    </row>
    <row r="253" spans="2:10" x14ac:dyDescent="0.45">
      <c r="B253" s="7" t="s">
        <v>1754</v>
      </c>
      <c r="C253" s="7" t="s">
        <v>1755</v>
      </c>
      <c r="D253" s="7" t="s">
        <v>476</v>
      </c>
      <c r="E253" s="8" t="s">
        <v>1847</v>
      </c>
      <c r="H253" s="7" t="s">
        <v>1754</v>
      </c>
      <c r="I253" s="7" t="s">
        <v>1755</v>
      </c>
      <c r="J253" s="7" t="s">
        <v>1922</v>
      </c>
    </row>
    <row r="254" spans="2:10" x14ac:dyDescent="0.45">
      <c r="H254" s="7" t="s">
        <v>1756</v>
      </c>
      <c r="I254" s="7" t="s">
        <v>1757</v>
      </c>
      <c r="J254" s="7" t="s">
        <v>1926</v>
      </c>
    </row>
    <row r="255" spans="2:10" x14ac:dyDescent="0.45">
      <c r="H255" s="7" t="s">
        <v>1758</v>
      </c>
      <c r="I255" s="7" t="s">
        <v>1759</v>
      </c>
      <c r="J255" s="7" t="s">
        <v>1929</v>
      </c>
    </row>
    <row r="256" spans="2:10" x14ac:dyDescent="0.45">
      <c r="H256" s="7" t="s">
        <v>1760</v>
      </c>
      <c r="I256" s="7" t="s">
        <v>1761</v>
      </c>
      <c r="J256" s="7" t="s">
        <v>1925</v>
      </c>
    </row>
    <row r="257" spans="8:10" x14ac:dyDescent="0.45">
      <c r="H257" s="7" t="s">
        <v>1762</v>
      </c>
      <c r="I257" s="7" t="s">
        <v>1763</v>
      </c>
      <c r="J257" s="7" t="s">
        <v>1929</v>
      </c>
    </row>
    <row r="258" spans="8:10" x14ac:dyDescent="0.45">
      <c r="H258" s="7" t="s">
        <v>1764</v>
      </c>
      <c r="I258" s="7" t="s">
        <v>1765</v>
      </c>
      <c r="J258" s="7" t="s">
        <v>1929</v>
      </c>
    </row>
    <row r="259" spans="8:10" x14ac:dyDescent="0.45">
      <c r="H259" s="7" t="s">
        <v>1766</v>
      </c>
      <c r="I259" s="7" t="s">
        <v>1767</v>
      </c>
      <c r="J259" s="7" t="s">
        <v>1924</v>
      </c>
    </row>
    <row r="260" spans="8:10" x14ac:dyDescent="0.45">
      <c r="H260" s="7" t="s">
        <v>1768</v>
      </c>
      <c r="I260" s="7" t="s">
        <v>1769</v>
      </c>
      <c r="J260" s="7" t="s">
        <v>1924</v>
      </c>
    </row>
    <row r="261" spans="8:10" x14ac:dyDescent="0.45">
      <c r="H261" s="7" t="s">
        <v>1770</v>
      </c>
      <c r="I261" s="7" t="s">
        <v>1771</v>
      </c>
      <c r="J261" s="7" t="s">
        <v>1924</v>
      </c>
    </row>
    <row r="262" spans="8:10" x14ac:dyDescent="0.45">
      <c r="H262" s="7" t="s">
        <v>1772</v>
      </c>
      <c r="I262" s="7" t="s">
        <v>1773</v>
      </c>
      <c r="J262" s="7" t="s">
        <v>1924</v>
      </c>
    </row>
    <row r="263" spans="8:10" x14ac:dyDescent="0.45">
      <c r="H263" s="7" t="s">
        <v>1774</v>
      </c>
      <c r="I263" s="7" t="s">
        <v>1775</v>
      </c>
      <c r="J263" s="7" t="s">
        <v>1924</v>
      </c>
    </row>
    <row r="264" spans="8:10" x14ac:dyDescent="0.45">
      <c r="H264" s="7" t="s">
        <v>1776</v>
      </c>
      <c r="I264" s="7" t="s">
        <v>1777</v>
      </c>
      <c r="J264" s="7" t="s">
        <v>1924</v>
      </c>
    </row>
    <row r="265" spans="8:10" x14ac:dyDescent="0.45">
      <c r="H265" s="7" t="s">
        <v>1778</v>
      </c>
      <c r="I265" s="7" t="s">
        <v>1779</v>
      </c>
      <c r="J265" s="7" t="s">
        <v>1924</v>
      </c>
    </row>
    <row r="266" spans="8:10" x14ac:dyDescent="0.45">
      <c r="H266" s="7" t="s">
        <v>1780</v>
      </c>
      <c r="I266" s="7" t="s">
        <v>1781</v>
      </c>
      <c r="J266" s="7" t="s">
        <v>1924</v>
      </c>
    </row>
    <row r="267" spans="8:10" x14ac:dyDescent="0.45">
      <c r="H267" s="7" t="s">
        <v>1782</v>
      </c>
      <c r="I267" s="7" t="s">
        <v>1783</v>
      </c>
      <c r="J267" s="7" t="s">
        <v>1924</v>
      </c>
    </row>
    <row r="268" spans="8:10" x14ac:dyDescent="0.45">
      <c r="H268" s="7" t="s">
        <v>1784</v>
      </c>
      <c r="I268" s="7" t="s">
        <v>1785</v>
      </c>
      <c r="J268" s="7" t="s">
        <v>1924</v>
      </c>
    </row>
    <row r="269" spans="8:10" x14ac:dyDescent="0.45">
      <c r="H269" s="7" t="s">
        <v>1786</v>
      </c>
      <c r="I269" s="7" t="s">
        <v>1787</v>
      </c>
      <c r="J269" s="7" t="s">
        <v>1924</v>
      </c>
    </row>
    <row r="270" spans="8:10" x14ac:dyDescent="0.45">
      <c r="H270" s="7" t="s">
        <v>1788</v>
      </c>
      <c r="I270" s="7" t="s">
        <v>1789</v>
      </c>
      <c r="J270" s="7" t="s">
        <v>1924</v>
      </c>
    </row>
    <row r="271" spans="8:10" x14ac:dyDescent="0.45">
      <c r="H271" s="7" t="s">
        <v>1790</v>
      </c>
      <c r="I271" s="7" t="s">
        <v>1791</v>
      </c>
      <c r="J271" s="7" t="s">
        <v>1924</v>
      </c>
    </row>
    <row r="272" spans="8:10" x14ac:dyDescent="0.45">
      <c r="H272" s="7" t="s">
        <v>1792</v>
      </c>
      <c r="I272" s="7" t="s">
        <v>1793</v>
      </c>
      <c r="J272" s="7" t="s">
        <v>1930</v>
      </c>
    </row>
    <row r="273" spans="8:10" x14ac:dyDescent="0.45">
      <c r="H273" s="7" t="s">
        <v>1794</v>
      </c>
      <c r="I273" s="7" t="s">
        <v>1795</v>
      </c>
      <c r="J273" s="7" t="s">
        <v>1924</v>
      </c>
    </row>
    <row r="274" spans="8:10" x14ac:dyDescent="0.45">
      <c r="H274" s="7" t="s">
        <v>1796</v>
      </c>
      <c r="I274" s="7" t="s">
        <v>1797</v>
      </c>
      <c r="J274" s="7" t="s">
        <v>1924</v>
      </c>
    </row>
    <row r="275" spans="8:10" x14ac:dyDescent="0.45">
      <c r="H275" s="7" t="s">
        <v>1798</v>
      </c>
      <c r="I275" s="7" t="s">
        <v>1799</v>
      </c>
      <c r="J275" s="7" t="s">
        <v>1922</v>
      </c>
    </row>
    <row r="276" spans="8:10" x14ac:dyDescent="0.45">
      <c r="H276" s="7" t="s">
        <v>1800</v>
      </c>
      <c r="I276" s="7" t="s">
        <v>1801</v>
      </c>
      <c r="J276" s="7" t="s">
        <v>1922</v>
      </c>
    </row>
    <row r="277" spans="8:10" x14ac:dyDescent="0.45">
      <c r="H277" s="7" t="s">
        <v>1802</v>
      </c>
      <c r="I277" s="7" t="s">
        <v>1803</v>
      </c>
      <c r="J277" s="7" t="s">
        <v>1922</v>
      </c>
    </row>
    <row r="278" spans="8:10" x14ac:dyDescent="0.45">
      <c r="H278" s="7" t="s">
        <v>1804</v>
      </c>
      <c r="I278" s="7" t="s">
        <v>1805</v>
      </c>
      <c r="J278" s="7" t="s">
        <v>1922</v>
      </c>
    </row>
    <row r="279" spans="8:10" x14ac:dyDescent="0.45">
      <c r="H279" s="7" t="s">
        <v>1806</v>
      </c>
      <c r="I279" s="7" t="s">
        <v>1807</v>
      </c>
      <c r="J279" s="7" t="s">
        <v>1922</v>
      </c>
    </row>
    <row r="280" spans="8:10" x14ac:dyDescent="0.45">
      <c r="H280" s="7" t="s">
        <v>1808</v>
      </c>
      <c r="I280" s="7" t="s">
        <v>1809</v>
      </c>
      <c r="J280" s="7" t="s">
        <v>1922</v>
      </c>
    </row>
    <row r="281" spans="8:10" x14ac:dyDescent="0.45">
      <c r="H281" s="7" t="s">
        <v>1810</v>
      </c>
      <c r="I281" s="7" t="s">
        <v>1811</v>
      </c>
      <c r="J281" s="7" t="s">
        <v>1922</v>
      </c>
    </row>
    <row r="282" spans="8:10" x14ac:dyDescent="0.45">
      <c r="H282" s="7" t="s">
        <v>1812</v>
      </c>
      <c r="I282" s="7" t="s">
        <v>1813</v>
      </c>
      <c r="J282" s="7" t="s">
        <v>1922</v>
      </c>
    </row>
    <row r="283" spans="8:10" x14ac:dyDescent="0.45">
      <c r="H283" s="7" t="s">
        <v>1814</v>
      </c>
      <c r="I283" s="7" t="s">
        <v>1815</v>
      </c>
      <c r="J283" s="7" t="s">
        <v>1922</v>
      </c>
    </row>
    <row r="284" spans="8:10" x14ac:dyDescent="0.45">
      <c r="H284" s="7" t="s">
        <v>1816</v>
      </c>
      <c r="I284" s="7" t="s">
        <v>1817</v>
      </c>
      <c r="J284" s="7" t="s">
        <v>1922</v>
      </c>
    </row>
    <row r="285" spans="8:10" x14ac:dyDescent="0.45">
      <c r="H285" s="7" t="s">
        <v>1818</v>
      </c>
      <c r="I285" s="7" t="s">
        <v>1819</v>
      </c>
      <c r="J285" s="7" t="s">
        <v>1923</v>
      </c>
    </row>
    <row r="286" spans="8:10" x14ac:dyDescent="0.45">
      <c r="H286" s="7" t="s">
        <v>1820</v>
      </c>
      <c r="I286" s="7" t="s">
        <v>1821</v>
      </c>
      <c r="J286" s="7" t="s">
        <v>1923</v>
      </c>
    </row>
    <row r="287" spans="8:10" x14ac:dyDescent="0.45">
      <c r="H287" s="7" t="s">
        <v>1822</v>
      </c>
      <c r="I287" s="7" t="s">
        <v>1823</v>
      </c>
      <c r="J287" s="7" t="s">
        <v>1929</v>
      </c>
    </row>
    <row r="288" spans="8:10" x14ac:dyDescent="0.45">
      <c r="H288" s="7" t="s">
        <v>1824</v>
      </c>
      <c r="I288" s="7" t="s">
        <v>1825</v>
      </c>
      <c r="J288" s="7" t="s">
        <v>1923</v>
      </c>
    </row>
    <row r="289" spans="8:10" x14ac:dyDescent="0.45">
      <c r="H289" s="7" t="s">
        <v>1826</v>
      </c>
      <c r="I289" s="7" t="s">
        <v>1827</v>
      </c>
      <c r="J289" s="7" t="s">
        <v>1928</v>
      </c>
    </row>
    <row r="290" spans="8:10" x14ac:dyDescent="0.45">
      <c r="H290" s="7" t="s">
        <v>1828</v>
      </c>
      <c r="I290" s="7" t="s">
        <v>1829</v>
      </c>
      <c r="J290" s="7" t="s">
        <v>1928</v>
      </c>
    </row>
  </sheetData>
  <autoFilter ref="C1:E253" xr:uid="{494D954B-525C-4DA7-834B-A48AAB00FFF7}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11A0340F-68F8-4D70-BA82-B9A1337A3BC5}">
            <xm:f>AND($C2&lt;&gt;"",COUNTIF(Empleados!$B$2:$B$257,$C2)=0)</xm:f>
            <x14:dxf>
              <fill>
                <patternFill patternType="solid">
                  <fgColor indexed="64"/>
                  <bgColor rgb="FFFFFF00"/>
                </patternFill>
              </fill>
            </x14:dxf>
          </x14:cfRule>
          <xm:sqref>A2:E253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301"/>
  <sheetViews>
    <sheetView showGridLines="0" zoomScale="90" workbookViewId="0">
      <pane ySplit="1" topLeftCell="A2" activePane="bottomLeft" state="frozen"/>
      <selection pane="bottomLeft" activeCell="A7" sqref="A7"/>
    </sheetView>
  </sheetViews>
  <sheetFormatPr defaultColWidth="9.1328125" defaultRowHeight="14.25" x14ac:dyDescent="0.45"/>
  <cols>
    <col min="1" max="1" width="21" customWidth="1"/>
    <col min="2" max="2" width="29" customWidth="1"/>
  </cols>
  <sheetData>
    <row r="1" spans="1:2" ht="30" customHeight="1" x14ac:dyDescent="0.45">
      <c r="A1" s="1" t="s">
        <v>469</v>
      </c>
      <c r="B1" s="1" t="s">
        <v>474</v>
      </c>
    </row>
    <row r="2" spans="1:2" ht="20.100000000000001" customHeight="1" x14ac:dyDescent="0.45">
      <c r="A2" s="29">
        <v>1233909318</v>
      </c>
      <c r="B2" s="2" t="s">
        <v>22</v>
      </c>
    </row>
    <row r="3" spans="1:2" ht="20.100000000000001" customHeight="1" x14ac:dyDescent="0.45">
      <c r="A3" s="29">
        <v>1192899760</v>
      </c>
      <c r="B3" s="2" t="s">
        <v>22</v>
      </c>
    </row>
    <row r="4" spans="1:2" ht="20.100000000000001" customHeight="1" x14ac:dyDescent="0.45">
      <c r="A4" s="29">
        <v>1129500731</v>
      </c>
      <c r="B4" s="2" t="s">
        <v>22</v>
      </c>
    </row>
    <row r="5" spans="1:2" ht="20.100000000000001" customHeight="1" x14ac:dyDescent="0.45">
      <c r="A5" s="29">
        <v>1122724152</v>
      </c>
      <c r="B5" s="2" t="s">
        <v>22</v>
      </c>
    </row>
    <row r="6" spans="1:2" ht="20.100000000000001" customHeight="1" x14ac:dyDescent="0.45">
      <c r="A6" s="29">
        <v>1101754273</v>
      </c>
      <c r="B6" s="2" t="s">
        <v>22</v>
      </c>
    </row>
    <row r="7" spans="1:2" ht="20.100000000000001" customHeight="1" x14ac:dyDescent="0.45">
      <c r="A7" s="29">
        <v>1073681374</v>
      </c>
      <c r="B7" s="2" t="s">
        <v>22</v>
      </c>
    </row>
    <row r="8" spans="1:2" ht="20.100000000000001" customHeight="1" x14ac:dyDescent="0.45">
      <c r="A8" s="29">
        <v>1070385532</v>
      </c>
      <c r="B8" s="2" t="s">
        <v>22</v>
      </c>
    </row>
    <row r="9" spans="1:2" ht="20.100000000000001" customHeight="1" x14ac:dyDescent="0.45">
      <c r="A9" s="29">
        <v>1054708319</v>
      </c>
      <c r="B9" s="2" t="s">
        <v>22</v>
      </c>
    </row>
    <row r="10" spans="1:2" ht="20.100000000000001" customHeight="1" x14ac:dyDescent="0.45">
      <c r="A10" s="29">
        <v>1046404608</v>
      </c>
      <c r="B10" s="2" t="s">
        <v>22</v>
      </c>
    </row>
    <row r="11" spans="1:2" ht="20.100000000000001" customHeight="1" x14ac:dyDescent="0.45">
      <c r="A11" s="29">
        <v>1041440332</v>
      </c>
      <c r="B11" s="2" t="s">
        <v>22</v>
      </c>
    </row>
    <row r="12" spans="1:2" ht="20.100000000000001" customHeight="1" x14ac:dyDescent="0.45">
      <c r="A12" s="29">
        <v>1033756966</v>
      </c>
      <c r="B12" s="2" t="s">
        <v>22</v>
      </c>
    </row>
    <row r="13" spans="1:2" ht="20.100000000000001" customHeight="1" x14ac:dyDescent="0.45">
      <c r="A13" s="29">
        <v>1032448692</v>
      </c>
      <c r="B13" s="2" t="s">
        <v>22</v>
      </c>
    </row>
    <row r="14" spans="1:2" ht="20.100000000000001" customHeight="1" x14ac:dyDescent="0.45">
      <c r="A14" s="29">
        <v>1032411588</v>
      </c>
      <c r="B14" s="2" t="s">
        <v>22</v>
      </c>
    </row>
    <row r="15" spans="1:2" ht="20.100000000000001" customHeight="1" x14ac:dyDescent="0.45">
      <c r="A15" s="29">
        <v>1032358964</v>
      </c>
      <c r="B15" s="2" t="s">
        <v>22</v>
      </c>
    </row>
    <row r="16" spans="1:2" ht="20.100000000000001" customHeight="1" x14ac:dyDescent="0.45">
      <c r="A16" s="29">
        <v>1026590881</v>
      </c>
      <c r="B16" s="2" t="s">
        <v>22</v>
      </c>
    </row>
    <row r="17" spans="1:2" ht="20.100000000000001" customHeight="1" x14ac:dyDescent="0.45">
      <c r="A17" s="29">
        <v>1026255909</v>
      </c>
      <c r="B17" s="2" t="s">
        <v>22</v>
      </c>
    </row>
    <row r="18" spans="1:2" ht="20.100000000000001" customHeight="1" x14ac:dyDescent="0.45">
      <c r="A18" s="29">
        <v>1022444646</v>
      </c>
      <c r="B18" s="2" t="s">
        <v>22</v>
      </c>
    </row>
    <row r="19" spans="1:2" ht="20.100000000000001" customHeight="1" x14ac:dyDescent="0.45">
      <c r="A19" s="29">
        <v>1019155792</v>
      </c>
      <c r="B19" s="2" t="s">
        <v>22</v>
      </c>
    </row>
    <row r="20" spans="1:2" ht="20.100000000000001" customHeight="1" x14ac:dyDescent="0.45">
      <c r="A20" s="29">
        <v>1019155546</v>
      </c>
      <c r="B20" s="2" t="s">
        <v>22</v>
      </c>
    </row>
    <row r="21" spans="1:2" ht="20.100000000000001" customHeight="1" x14ac:dyDescent="0.45">
      <c r="A21" s="29">
        <v>1019047471</v>
      </c>
      <c r="B21" s="2" t="s">
        <v>22</v>
      </c>
    </row>
    <row r="22" spans="1:2" ht="20.100000000000001" customHeight="1" x14ac:dyDescent="0.45">
      <c r="A22" s="29">
        <v>1018494723</v>
      </c>
      <c r="B22" s="2" t="s">
        <v>22</v>
      </c>
    </row>
    <row r="23" spans="1:2" ht="20.100000000000001" customHeight="1" x14ac:dyDescent="0.45">
      <c r="A23" s="29">
        <v>1018410280</v>
      </c>
      <c r="B23" s="2" t="s">
        <v>22</v>
      </c>
    </row>
    <row r="24" spans="1:2" ht="20.100000000000001" customHeight="1" x14ac:dyDescent="0.45">
      <c r="A24" s="29">
        <v>1015410531</v>
      </c>
      <c r="B24" s="2" t="s">
        <v>22</v>
      </c>
    </row>
    <row r="25" spans="1:2" ht="20.100000000000001" customHeight="1" x14ac:dyDescent="0.45">
      <c r="A25" s="29">
        <v>1014274291</v>
      </c>
      <c r="B25" s="2" t="s">
        <v>22</v>
      </c>
    </row>
    <row r="26" spans="1:2" ht="20.100000000000001" customHeight="1" x14ac:dyDescent="0.45">
      <c r="A26" s="29">
        <v>1012407746</v>
      </c>
      <c r="B26" s="2" t="s">
        <v>22</v>
      </c>
    </row>
    <row r="27" spans="1:2" ht="20.100000000000001" customHeight="1" x14ac:dyDescent="0.45">
      <c r="A27" s="29">
        <v>1007718465</v>
      </c>
      <c r="B27" s="2" t="s">
        <v>22</v>
      </c>
    </row>
    <row r="28" spans="1:2" ht="20.100000000000001" customHeight="1" x14ac:dyDescent="0.45">
      <c r="A28" s="29">
        <v>1000580654</v>
      </c>
      <c r="B28" s="2" t="s">
        <v>22</v>
      </c>
    </row>
    <row r="29" spans="1:2" ht="20.100000000000001" customHeight="1" x14ac:dyDescent="0.45">
      <c r="A29" s="29">
        <v>1000120544</v>
      </c>
      <c r="B29" s="2" t="s">
        <v>22</v>
      </c>
    </row>
    <row r="30" spans="1:2" ht="20.100000000000001" customHeight="1" x14ac:dyDescent="0.45">
      <c r="A30" s="29">
        <v>79793908</v>
      </c>
      <c r="B30" s="2" t="s">
        <v>22</v>
      </c>
    </row>
    <row r="31" spans="1:2" ht="20.100000000000001" customHeight="1" x14ac:dyDescent="0.45">
      <c r="A31" s="29">
        <v>52351654</v>
      </c>
      <c r="B31" s="2" t="s">
        <v>22</v>
      </c>
    </row>
    <row r="32" spans="1:2" ht="20.100000000000001" customHeight="1" x14ac:dyDescent="0.45">
      <c r="A32" s="29">
        <v>36452081</v>
      </c>
      <c r="B32" s="2" t="s">
        <v>22</v>
      </c>
    </row>
    <row r="33" spans="1:2" ht="20.100000000000001" customHeight="1" x14ac:dyDescent="0.45">
      <c r="A33" s="29">
        <v>7016718</v>
      </c>
      <c r="B33" s="2" t="s">
        <v>22</v>
      </c>
    </row>
    <row r="34" spans="1:2" ht="20.100000000000001" customHeight="1" x14ac:dyDescent="0.45">
      <c r="A34" s="29">
        <v>6543622</v>
      </c>
      <c r="B34" s="2" t="s">
        <v>22</v>
      </c>
    </row>
    <row r="35" spans="1:2" ht="20.100000000000001" customHeight="1" x14ac:dyDescent="0.45">
      <c r="A35" s="29">
        <v>5057939</v>
      </c>
      <c r="B35" s="2" t="s">
        <v>22</v>
      </c>
    </row>
    <row r="36" spans="1:2" ht="20.100000000000001" customHeight="1" x14ac:dyDescent="0.45">
      <c r="A36" s="29">
        <v>5016126</v>
      </c>
      <c r="B36" s="2" t="s">
        <v>22</v>
      </c>
    </row>
    <row r="37" spans="1:2" ht="20.100000000000001" customHeight="1" x14ac:dyDescent="0.45">
      <c r="A37" s="29">
        <v>1410040</v>
      </c>
      <c r="B37" s="2" t="s">
        <v>22</v>
      </c>
    </row>
    <row r="38" spans="1:2" ht="20.100000000000001" customHeight="1" x14ac:dyDescent="0.45">
      <c r="A38" s="29">
        <v>912937</v>
      </c>
      <c r="B38" s="2" t="s">
        <v>22</v>
      </c>
    </row>
    <row r="39" spans="1:2" ht="20.100000000000001" customHeight="1" x14ac:dyDescent="0.45">
      <c r="A39" s="29">
        <v>774848</v>
      </c>
      <c r="B39" s="2" t="s">
        <v>22</v>
      </c>
    </row>
    <row r="40" spans="1:2" ht="20.100000000000001" hidden="1" customHeight="1" x14ac:dyDescent="0.45">
      <c r="A40" s="29">
        <v>1193547331</v>
      </c>
      <c r="B40" s="29" t="s">
        <v>26</v>
      </c>
    </row>
    <row r="41" spans="1:2" ht="20.100000000000001" hidden="1" customHeight="1" x14ac:dyDescent="0.45">
      <c r="A41" s="29">
        <v>1117492302</v>
      </c>
      <c r="B41" s="29" t="s">
        <v>26</v>
      </c>
    </row>
    <row r="42" spans="1:2" ht="20.100000000000001" hidden="1" customHeight="1" x14ac:dyDescent="0.45">
      <c r="A42" s="29">
        <v>1074130614</v>
      </c>
      <c r="B42" s="29" t="s">
        <v>26</v>
      </c>
    </row>
    <row r="43" spans="1:2" ht="20.100000000000001" hidden="1" customHeight="1" x14ac:dyDescent="0.45">
      <c r="A43" s="29">
        <v>1065627424</v>
      </c>
      <c r="B43" s="29" t="s">
        <v>26</v>
      </c>
    </row>
    <row r="44" spans="1:2" ht="20.100000000000001" hidden="1" customHeight="1" x14ac:dyDescent="0.45">
      <c r="A44" s="29">
        <v>1063300351</v>
      </c>
      <c r="B44" s="29" t="s">
        <v>26</v>
      </c>
    </row>
    <row r="45" spans="1:2" ht="20.100000000000001" hidden="1" customHeight="1" x14ac:dyDescent="0.45">
      <c r="A45" s="29">
        <v>1052963640</v>
      </c>
      <c r="B45" s="29" t="s">
        <v>26</v>
      </c>
    </row>
    <row r="46" spans="1:2" ht="20.100000000000001" hidden="1" customHeight="1" x14ac:dyDescent="0.45">
      <c r="A46" s="29">
        <v>1042440539</v>
      </c>
      <c r="B46" s="29" t="s">
        <v>26</v>
      </c>
    </row>
    <row r="47" spans="1:2" ht="20.100000000000001" hidden="1" customHeight="1" x14ac:dyDescent="0.45">
      <c r="A47" s="29">
        <v>1033743277</v>
      </c>
      <c r="B47" s="29" t="s">
        <v>26</v>
      </c>
    </row>
    <row r="48" spans="1:2" ht="20.100000000000001" hidden="1" customHeight="1" x14ac:dyDescent="0.45">
      <c r="A48" s="29">
        <v>1031806185</v>
      </c>
      <c r="B48" s="29" t="s">
        <v>26</v>
      </c>
    </row>
    <row r="49" spans="1:2" ht="20.100000000000001" hidden="1" customHeight="1" x14ac:dyDescent="0.45">
      <c r="A49" s="29">
        <v>1030597501</v>
      </c>
      <c r="B49" s="29" t="s">
        <v>26</v>
      </c>
    </row>
    <row r="50" spans="1:2" ht="20.100000000000001" hidden="1" customHeight="1" x14ac:dyDescent="0.45">
      <c r="A50" s="29">
        <v>1024489562</v>
      </c>
      <c r="B50" s="29" t="s">
        <v>26</v>
      </c>
    </row>
    <row r="51" spans="1:2" ht="20.100000000000001" hidden="1" customHeight="1" x14ac:dyDescent="0.45">
      <c r="A51" s="29">
        <v>1023928378</v>
      </c>
      <c r="B51" s="29" t="s">
        <v>26</v>
      </c>
    </row>
    <row r="52" spans="1:2" ht="20.100000000000001" hidden="1" customHeight="1" x14ac:dyDescent="0.45">
      <c r="A52" s="29">
        <v>1020816666</v>
      </c>
      <c r="B52" s="29" t="s">
        <v>26</v>
      </c>
    </row>
    <row r="53" spans="1:2" ht="20.100000000000001" hidden="1" customHeight="1" x14ac:dyDescent="0.45">
      <c r="A53" s="29">
        <v>1019018733</v>
      </c>
      <c r="B53" s="29" t="s">
        <v>26</v>
      </c>
    </row>
    <row r="54" spans="1:2" ht="20.100000000000001" hidden="1" customHeight="1" x14ac:dyDescent="0.45">
      <c r="A54" s="29">
        <v>1018442964</v>
      </c>
      <c r="B54" s="29" t="s">
        <v>26</v>
      </c>
    </row>
    <row r="55" spans="1:2" ht="20.100000000000001" hidden="1" customHeight="1" x14ac:dyDescent="0.45">
      <c r="A55" s="29">
        <v>1014234044</v>
      </c>
      <c r="B55" s="29" t="s">
        <v>26</v>
      </c>
    </row>
    <row r="56" spans="1:2" ht="20.100000000000001" hidden="1" customHeight="1" x14ac:dyDescent="0.45">
      <c r="A56" s="29">
        <v>1012414069</v>
      </c>
      <c r="B56" s="29" t="s">
        <v>26</v>
      </c>
    </row>
    <row r="57" spans="1:2" ht="20.100000000000001" hidden="1" customHeight="1" x14ac:dyDescent="0.45">
      <c r="A57" s="29">
        <v>1012337456</v>
      </c>
      <c r="B57" s="29" t="s">
        <v>26</v>
      </c>
    </row>
    <row r="58" spans="1:2" ht="20.100000000000001" hidden="1" customHeight="1" x14ac:dyDescent="0.45">
      <c r="A58" s="29">
        <v>1007504115</v>
      </c>
      <c r="B58" s="29" t="s">
        <v>26</v>
      </c>
    </row>
    <row r="59" spans="1:2" ht="20.100000000000001" hidden="1" customHeight="1" x14ac:dyDescent="0.45">
      <c r="A59" s="29">
        <v>1004368488</v>
      </c>
      <c r="B59" s="29" t="s">
        <v>26</v>
      </c>
    </row>
    <row r="60" spans="1:2" ht="20.100000000000001" hidden="1" customHeight="1" x14ac:dyDescent="0.45">
      <c r="A60" s="29">
        <v>1002392387</v>
      </c>
      <c r="B60" s="29" t="s">
        <v>26</v>
      </c>
    </row>
    <row r="61" spans="1:2" ht="20.100000000000001" hidden="1" customHeight="1" x14ac:dyDescent="0.45">
      <c r="A61" s="29">
        <v>1001885355</v>
      </c>
      <c r="B61" s="29" t="s">
        <v>26</v>
      </c>
    </row>
    <row r="62" spans="1:2" ht="20.100000000000001" hidden="1" customHeight="1" x14ac:dyDescent="0.45">
      <c r="A62" s="29">
        <v>1001176185</v>
      </c>
      <c r="B62" s="29" t="s">
        <v>26</v>
      </c>
    </row>
    <row r="63" spans="1:2" ht="20.100000000000001" hidden="1" customHeight="1" x14ac:dyDescent="0.45">
      <c r="A63" s="29">
        <v>1000944472</v>
      </c>
      <c r="B63" s="29" t="s">
        <v>26</v>
      </c>
    </row>
    <row r="64" spans="1:2" ht="20.100000000000001" hidden="1" customHeight="1" x14ac:dyDescent="0.45">
      <c r="A64" s="29">
        <v>80912321</v>
      </c>
      <c r="B64" s="29" t="s">
        <v>26</v>
      </c>
    </row>
    <row r="65" spans="1:2" ht="20.100000000000001" hidden="1" customHeight="1" x14ac:dyDescent="0.45">
      <c r="A65" s="29">
        <v>72267674</v>
      </c>
      <c r="B65" s="29" t="s">
        <v>26</v>
      </c>
    </row>
    <row r="66" spans="1:2" ht="20.100000000000001" hidden="1" customHeight="1" x14ac:dyDescent="0.45">
      <c r="A66" s="29">
        <v>64578281</v>
      </c>
      <c r="B66" s="29" t="s">
        <v>26</v>
      </c>
    </row>
    <row r="67" spans="1:2" ht="20.100000000000001" hidden="1" customHeight="1" x14ac:dyDescent="0.45">
      <c r="A67" s="29">
        <v>36451606</v>
      </c>
      <c r="B67" s="29" t="s">
        <v>26</v>
      </c>
    </row>
    <row r="68" spans="1:2" ht="20.100000000000001" hidden="1" customHeight="1" x14ac:dyDescent="0.45">
      <c r="A68" s="29">
        <v>8865244</v>
      </c>
      <c r="B68" s="29" t="s">
        <v>26</v>
      </c>
    </row>
    <row r="69" spans="1:2" ht="20.100000000000001" hidden="1" customHeight="1" x14ac:dyDescent="0.45">
      <c r="A69" s="29">
        <v>6472089</v>
      </c>
      <c r="B69" s="29" t="s">
        <v>26</v>
      </c>
    </row>
    <row r="70" spans="1:2" ht="20.100000000000001" hidden="1" customHeight="1" x14ac:dyDescent="0.45">
      <c r="A70" s="29">
        <v>6063677</v>
      </c>
      <c r="B70" s="29" t="s">
        <v>26</v>
      </c>
    </row>
    <row r="71" spans="1:2" ht="20.100000000000001" hidden="1" customHeight="1" x14ac:dyDescent="0.45">
      <c r="A71" s="29">
        <v>5844757</v>
      </c>
      <c r="B71" s="29" t="s">
        <v>26</v>
      </c>
    </row>
    <row r="72" spans="1:2" ht="20.100000000000001" hidden="1" customHeight="1" x14ac:dyDescent="0.45">
      <c r="A72" s="29">
        <v>5828801</v>
      </c>
      <c r="B72" s="29" t="s">
        <v>26</v>
      </c>
    </row>
    <row r="73" spans="1:2" ht="20.100000000000001" hidden="1" customHeight="1" x14ac:dyDescent="0.45">
      <c r="A73" s="29">
        <v>5380284</v>
      </c>
      <c r="B73" s="29" t="s">
        <v>26</v>
      </c>
    </row>
    <row r="74" spans="1:2" ht="20.100000000000001" hidden="1" customHeight="1" x14ac:dyDescent="0.45">
      <c r="A74" s="29">
        <v>5152122</v>
      </c>
      <c r="B74" s="29" t="s">
        <v>26</v>
      </c>
    </row>
    <row r="75" spans="1:2" ht="20.100000000000001" hidden="1" customHeight="1" x14ac:dyDescent="0.45">
      <c r="A75" s="29">
        <v>5034016</v>
      </c>
      <c r="B75" s="29" t="s">
        <v>26</v>
      </c>
    </row>
    <row r="76" spans="1:2" ht="20.100000000000001" hidden="1" customHeight="1" x14ac:dyDescent="0.45">
      <c r="A76" s="29">
        <v>1233901862</v>
      </c>
      <c r="B76" s="29" t="s">
        <v>14</v>
      </c>
    </row>
    <row r="77" spans="1:2" ht="20.100000000000001" hidden="1" customHeight="1" x14ac:dyDescent="0.45">
      <c r="A77" s="29">
        <v>1143371733</v>
      </c>
      <c r="B77" s="29" t="s">
        <v>14</v>
      </c>
    </row>
    <row r="78" spans="1:2" ht="20.100000000000001" hidden="1" customHeight="1" x14ac:dyDescent="0.45">
      <c r="A78" s="29">
        <v>1128420613</v>
      </c>
      <c r="B78" s="29" t="s">
        <v>14</v>
      </c>
    </row>
    <row r="79" spans="1:2" ht="20.100000000000001" hidden="1" customHeight="1" x14ac:dyDescent="0.45">
      <c r="A79" s="29">
        <v>1080022226</v>
      </c>
      <c r="B79" s="29" t="s">
        <v>14</v>
      </c>
    </row>
    <row r="80" spans="1:2" ht="20.100000000000001" hidden="1" customHeight="1" x14ac:dyDescent="0.45">
      <c r="A80" s="29">
        <v>1079177988</v>
      </c>
      <c r="B80" s="29" t="s">
        <v>14</v>
      </c>
    </row>
    <row r="81" spans="1:2" ht="20.100000000000001" hidden="1" customHeight="1" x14ac:dyDescent="0.45">
      <c r="A81" s="29">
        <v>1059900742</v>
      </c>
      <c r="B81" s="29" t="s">
        <v>14</v>
      </c>
    </row>
    <row r="82" spans="1:2" ht="20.100000000000001" hidden="1" customHeight="1" x14ac:dyDescent="0.45">
      <c r="A82" s="29">
        <v>1026560667</v>
      </c>
      <c r="B82" s="29" t="s">
        <v>14</v>
      </c>
    </row>
    <row r="83" spans="1:2" ht="20.100000000000001" hidden="1" customHeight="1" x14ac:dyDescent="0.45">
      <c r="A83" s="29">
        <v>1026291300</v>
      </c>
      <c r="B83" s="29" t="s">
        <v>14</v>
      </c>
    </row>
    <row r="84" spans="1:2" ht="20.100000000000001" hidden="1" customHeight="1" x14ac:dyDescent="0.45">
      <c r="A84" s="29">
        <v>1024530726</v>
      </c>
      <c r="B84" s="29" t="s">
        <v>14</v>
      </c>
    </row>
    <row r="85" spans="1:2" ht="20.100000000000001" hidden="1" customHeight="1" x14ac:dyDescent="0.45">
      <c r="A85" s="29">
        <v>1024523780</v>
      </c>
      <c r="B85" s="29" t="s">
        <v>14</v>
      </c>
    </row>
    <row r="86" spans="1:2" ht="20.100000000000001" hidden="1" customHeight="1" x14ac:dyDescent="0.45">
      <c r="A86" s="29">
        <v>1022402548</v>
      </c>
      <c r="B86" s="29" t="s">
        <v>14</v>
      </c>
    </row>
    <row r="87" spans="1:2" ht="20.100000000000001" hidden="1" customHeight="1" x14ac:dyDescent="0.45">
      <c r="A87" s="29">
        <v>1020737142</v>
      </c>
      <c r="B87" s="29" t="s">
        <v>14</v>
      </c>
    </row>
    <row r="88" spans="1:2" ht="20.100000000000001" hidden="1" customHeight="1" x14ac:dyDescent="0.45">
      <c r="A88" s="29">
        <v>1019100190</v>
      </c>
      <c r="B88" s="29" t="s">
        <v>14</v>
      </c>
    </row>
    <row r="89" spans="1:2" ht="20.100000000000001" hidden="1" customHeight="1" x14ac:dyDescent="0.45">
      <c r="A89" s="29">
        <v>1018417343</v>
      </c>
      <c r="B89" s="29" t="s">
        <v>14</v>
      </c>
    </row>
    <row r="90" spans="1:2" ht="20.100000000000001" hidden="1" customHeight="1" x14ac:dyDescent="0.45">
      <c r="A90" s="29">
        <v>1016951876</v>
      </c>
      <c r="B90" s="29" t="s">
        <v>14</v>
      </c>
    </row>
    <row r="91" spans="1:2" ht="20.100000000000001" hidden="1" customHeight="1" x14ac:dyDescent="0.45">
      <c r="A91" s="29">
        <v>1015474725</v>
      </c>
      <c r="B91" s="29" t="s">
        <v>14</v>
      </c>
    </row>
    <row r="92" spans="1:2" ht="20.100000000000001" hidden="1" customHeight="1" x14ac:dyDescent="0.45">
      <c r="A92" s="29">
        <v>1015437394</v>
      </c>
      <c r="B92" s="29" t="s">
        <v>14</v>
      </c>
    </row>
    <row r="93" spans="1:2" ht="20.100000000000001" hidden="1" customHeight="1" x14ac:dyDescent="0.45">
      <c r="A93" s="29">
        <v>1015066212</v>
      </c>
      <c r="B93" s="29" t="s">
        <v>14</v>
      </c>
    </row>
    <row r="94" spans="1:2" ht="20.100000000000001" hidden="1" customHeight="1" x14ac:dyDescent="0.45">
      <c r="A94" s="29">
        <v>1013630759</v>
      </c>
      <c r="B94" s="29" t="s">
        <v>14</v>
      </c>
    </row>
    <row r="95" spans="1:2" ht="20.100000000000001" hidden="1" customHeight="1" x14ac:dyDescent="0.45">
      <c r="A95" s="29">
        <v>1012442573</v>
      </c>
      <c r="B95" s="29" t="s">
        <v>14</v>
      </c>
    </row>
    <row r="96" spans="1:2" ht="20.100000000000001" hidden="1" customHeight="1" x14ac:dyDescent="0.45">
      <c r="A96" s="29">
        <v>1007646014</v>
      </c>
      <c r="B96" s="29" t="s">
        <v>14</v>
      </c>
    </row>
    <row r="97" spans="1:2" ht="20.100000000000001" hidden="1" customHeight="1" x14ac:dyDescent="0.45">
      <c r="A97" s="29">
        <v>1003740456</v>
      </c>
      <c r="B97" s="29" t="s">
        <v>14</v>
      </c>
    </row>
    <row r="98" spans="1:2" ht="20.100000000000001" hidden="1" customHeight="1" x14ac:dyDescent="0.45">
      <c r="A98" s="29">
        <v>1001282010</v>
      </c>
      <c r="B98" s="29" t="s">
        <v>14</v>
      </c>
    </row>
    <row r="99" spans="1:2" ht="20.100000000000001" hidden="1" customHeight="1" x14ac:dyDescent="0.45">
      <c r="A99" s="29">
        <v>80174754</v>
      </c>
      <c r="B99" s="29" t="s">
        <v>14</v>
      </c>
    </row>
    <row r="100" spans="1:2" ht="20.100000000000001" hidden="1" customHeight="1" x14ac:dyDescent="0.45">
      <c r="A100" s="29">
        <v>80144442</v>
      </c>
      <c r="B100" s="29" t="s">
        <v>14</v>
      </c>
    </row>
    <row r="101" spans="1:2" ht="20.100000000000001" hidden="1" customHeight="1" x14ac:dyDescent="0.45">
      <c r="A101" s="29">
        <v>80129544</v>
      </c>
      <c r="B101" s="29" t="s">
        <v>14</v>
      </c>
    </row>
    <row r="102" spans="1:2" ht="20.100000000000001" hidden="1" customHeight="1" x14ac:dyDescent="0.45">
      <c r="A102" s="29">
        <v>80116306</v>
      </c>
      <c r="B102" s="29" t="s">
        <v>14</v>
      </c>
    </row>
    <row r="103" spans="1:2" ht="20.100000000000001" hidden="1" customHeight="1" x14ac:dyDescent="0.45">
      <c r="A103" s="29">
        <v>79132253</v>
      </c>
      <c r="B103" s="29" t="s">
        <v>14</v>
      </c>
    </row>
    <row r="104" spans="1:2" ht="20.100000000000001" hidden="1" customHeight="1" x14ac:dyDescent="0.45">
      <c r="A104" s="29">
        <v>57462390</v>
      </c>
      <c r="B104" s="29" t="s">
        <v>14</v>
      </c>
    </row>
    <row r="105" spans="1:2" ht="20.100000000000001" hidden="1" customHeight="1" x14ac:dyDescent="0.45">
      <c r="A105" s="29">
        <v>57106601</v>
      </c>
      <c r="B105" s="29" t="s">
        <v>14</v>
      </c>
    </row>
    <row r="106" spans="1:2" ht="20.100000000000001" hidden="1" customHeight="1" x14ac:dyDescent="0.45">
      <c r="A106" s="29">
        <v>52498110</v>
      </c>
      <c r="B106" s="29" t="s">
        <v>14</v>
      </c>
    </row>
    <row r="107" spans="1:2" ht="20.100000000000001" hidden="1" customHeight="1" x14ac:dyDescent="0.45">
      <c r="A107" s="29">
        <v>20730598</v>
      </c>
      <c r="B107" s="29" t="s">
        <v>14</v>
      </c>
    </row>
    <row r="108" spans="1:2" ht="20.100000000000001" hidden="1" customHeight="1" x14ac:dyDescent="0.45">
      <c r="A108" s="29">
        <v>18465349</v>
      </c>
      <c r="B108" s="29" t="s">
        <v>14</v>
      </c>
    </row>
    <row r="109" spans="1:2" ht="20.100000000000001" hidden="1" customHeight="1" x14ac:dyDescent="0.45">
      <c r="A109" s="29">
        <v>7040622</v>
      </c>
      <c r="B109" s="29" t="s">
        <v>14</v>
      </c>
    </row>
    <row r="110" spans="1:2" ht="20.100000000000001" hidden="1" customHeight="1" x14ac:dyDescent="0.45">
      <c r="A110" s="29">
        <v>5923325</v>
      </c>
      <c r="B110" s="29" t="s">
        <v>14</v>
      </c>
    </row>
    <row r="111" spans="1:2" ht="20.100000000000001" hidden="1" customHeight="1" x14ac:dyDescent="0.45">
      <c r="A111" s="29">
        <v>5822112</v>
      </c>
      <c r="B111" s="29" t="s">
        <v>14</v>
      </c>
    </row>
    <row r="112" spans="1:2" ht="20.100000000000001" hidden="1" customHeight="1" x14ac:dyDescent="0.45">
      <c r="A112" s="29">
        <v>5046048</v>
      </c>
      <c r="B112" s="29" t="s">
        <v>14</v>
      </c>
    </row>
    <row r="113" spans="1:2" ht="20.100000000000001" hidden="1" customHeight="1" x14ac:dyDescent="0.45">
      <c r="A113" s="29">
        <v>4154113</v>
      </c>
      <c r="B113" s="29" t="s">
        <v>14</v>
      </c>
    </row>
    <row r="114" spans="1:2" ht="20.100000000000001" hidden="1" customHeight="1" x14ac:dyDescent="0.45">
      <c r="A114" s="29">
        <v>1234894275</v>
      </c>
      <c r="B114" s="29" t="s">
        <v>18</v>
      </c>
    </row>
    <row r="115" spans="1:2" ht="20.100000000000001" hidden="1" customHeight="1" x14ac:dyDescent="0.45">
      <c r="A115" s="29">
        <v>1233688333</v>
      </c>
      <c r="B115" s="29" t="s">
        <v>18</v>
      </c>
    </row>
    <row r="116" spans="1:2" ht="20.100000000000001" hidden="1" customHeight="1" x14ac:dyDescent="0.45">
      <c r="A116" s="29">
        <v>1090441409</v>
      </c>
      <c r="B116" s="29" t="s">
        <v>18</v>
      </c>
    </row>
    <row r="117" spans="1:2" ht="20.100000000000001" hidden="1" customHeight="1" x14ac:dyDescent="0.45">
      <c r="A117" s="29">
        <v>1075305300</v>
      </c>
      <c r="B117" s="29" t="s">
        <v>18</v>
      </c>
    </row>
    <row r="118" spans="1:2" ht="20.100000000000001" hidden="1" customHeight="1" x14ac:dyDescent="0.45">
      <c r="A118" s="29">
        <v>1070014271</v>
      </c>
      <c r="B118" s="29" t="s">
        <v>18</v>
      </c>
    </row>
    <row r="119" spans="1:2" ht="20.100000000000001" hidden="1" customHeight="1" x14ac:dyDescent="0.45">
      <c r="A119" s="29">
        <v>1069154044</v>
      </c>
      <c r="B119" s="29" t="s">
        <v>18</v>
      </c>
    </row>
    <row r="120" spans="1:2" ht="20.100000000000001" hidden="1" customHeight="1" x14ac:dyDescent="0.45">
      <c r="A120" s="29">
        <v>1063619077</v>
      </c>
      <c r="B120" s="29" t="s">
        <v>18</v>
      </c>
    </row>
    <row r="121" spans="1:2" ht="20.100000000000001" hidden="1" customHeight="1" x14ac:dyDescent="0.45">
      <c r="A121" s="29">
        <v>1057893263</v>
      </c>
      <c r="B121" s="29" t="s">
        <v>18</v>
      </c>
    </row>
    <row r="122" spans="1:2" ht="20.100000000000001" hidden="1" customHeight="1" x14ac:dyDescent="0.45">
      <c r="A122" s="29">
        <v>1052836126</v>
      </c>
      <c r="B122" s="29" t="s">
        <v>18</v>
      </c>
    </row>
    <row r="123" spans="1:2" ht="20.100000000000001" hidden="1" customHeight="1" x14ac:dyDescent="0.45">
      <c r="A123" s="29">
        <v>1047217016</v>
      </c>
      <c r="B123" s="29" t="s">
        <v>18</v>
      </c>
    </row>
    <row r="124" spans="1:2" ht="20.100000000000001" hidden="1" customHeight="1" x14ac:dyDescent="0.45">
      <c r="A124" s="29">
        <v>1033694230</v>
      </c>
      <c r="B124" s="29" t="s">
        <v>18</v>
      </c>
    </row>
    <row r="125" spans="1:2" ht="20.100000000000001" hidden="1" customHeight="1" x14ac:dyDescent="0.45">
      <c r="A125" s="29">
        <v>1029143869</v>
      </c>
      <c r="B125" s="29" t="s">
        <v>18</v>
      </c>
    </row>
    <row r="126" spans="1:2" ht="20.100000000000001" hidden="1" customHeight="1" x14ac:dyDescent="0.45">
      <c r="A126" s="29">
        <v>1018513915</v>
      </c>
      <c r="B126" s="29" t="s">
        <v>18</v>
      </c>
    </row>
    <row r="127" spans="1:2" ht="20.100000000000001" hidden="1" customHeight="1" x14ac:dyDescent="0.45">
      <c r="A127" s="29">
        <v>1018491243</v>
      </c>
      <c r="B127" s="29" t="s">
        <v>18</v>
      </c>
    </row>
    <row r="128" spans="1:2" ht="20.100000000000001" hidden="1" customHeight="1" x14ac:dyDescent="0.45">
      <c r="A128" s="29">
        <v>1013102692</v>
      </c>
      <c r="B128" s="29" t="s">
        <v>18</v>
      </c>
    </row>
    <row r="129" spans="1:2" ht="20.100000000000001" hidden="1" customHeight="1" x14ac:dyDescent="0.45">
      <c r="A129" s="29">
        <v>1012429383</v>
      </c>
      <c r="B129" s="29" t="s">
        <v>18</v>
      </c>
    </row>
    <row r="130" spans="1:2" ht="20.100000000000001" hidden="1" customHeight="1" x14ac:dyDescent="0.45">
      <c r="A130" s="29">
        <v>1012423376</v>
      </c>
      <c r="B130" s="29" t="s">
        <v>18</v>
      </c>
    </row>
    <row r="131" spans="1:2" ht="20.100000000000001" hidden="1" customHeight="1" x14ac:dyDescent="0.45">
      <c r="A131" s="29">
        <v>1012387879</v>
      </c>
      <c r="B131" s="29" t="s">
        <v>18</v>
      </c>
    </row>
    <row r="132" spans="1:2" ht="20.100000000000001" hidden="1" customHeight="1" x14ac:dyDescent="0.45">
      <c r="A132" s="29">
        <v>1007483163</v>
      </c>
      <c r="B132" s="29" t="s">
        <v>18</v>
      </c>
    </row>
    <row r="133" spans="1:2" ht="20.100000000000001" hidden="1" customHeight="1" x14ac:dyDescent="0.45">
      <c r="A133" s="29">
        <v>1007434371</v>
      </c>
      <c r="B133" s="29" t="s">
        <v>18</v>
      </c>
    </row>
    <row r="134" spans="1:2" ht="20.100000000000001" hidden="1" customHeight="1" x14ac:dyDescent="0.45">
      <c r="A134" s="29">
        <v>1007294955</v>
      </c>
      <c r="B134" s="29" t="s">
        <v>18</v>
      </c>
    </row>
    <row r="135" spans="1:2" ht="20.100000000000001" hidden="1" customHeight="1" x14ac:dyDescent="0.45">
      <c r="A135" s="29">
        <v>1005740782</v>
      </c>
      <c r="B135" s="29" t="s">
        <v>18</v>
      </c>
    </row>
    <row r="136" spans="1:2" ht="20.100000000000001" hidden="1" customHeight="1" x14ac:dyDescent="0.45">
      <c r="A136" s="29">
        <v>1003812236</v>
      </c>
      <c r="B136" s="29" t="s">
        <v>18</v>
      </c>
    </row>
    <row r="137" spans="1:2" ht="20.100000000000001" hidden="1" customHeight="1" x14ac:dyDescent="0.45">
      <c r="A137" s="29">
        <v>1000689153</v>
      </c>
      <c r="B137" s="29" t="s">
        <v>18</v>
      </c>
    </row>
    <row r="138" spans="1:2" ht="20.100000000000001" hidden="1" customHeight="1" x14ac:dyDescent="0.45">
      <c r="A138" s="29">
        <v>1000128690</v>
      </c>
      <c r="B138" s="29" t="s">
        <v>18</v>
      </c>
    </row>
    <row r="139" spans="1:2" ht="20.100000000000001" hidden="1" customHeight="1" x14ac:dyDescent="0.45">
      <c r="A139" s="29">
        <v>1000121345</v>
      </c>
      <c r="B139" s="29" t="s">
        <v>18</v>
      </c>
    </row>
    <row r="140" spans="1:2" ht="20.100000000000001" hidden="1" customHeight="1" x14ac:dyDescent="0.45">
      <c r="A140" s="29">
        <v>80187171</v>
      </c>
      <c r="B140" s="29" t="s">
        <v>18</v>
      </c>
    </row>
    <row r="141" spans="1:2" ht="20.100000000000001" hidden="1" customHeight="1" x14ac:dyDescent="0.45">
      <c r="A141" s="29">
        <v>79786359</v>
      </c>
      <c r="B141" s="29" t="s">
        <v>18</v>
      </c>
    </row>
    <row r="142" spans="1:2" ht="20.100000000000001" hidden="1" customHeight="1" x14ac:dyDescent="0.45">
      <c r="A142" s="29">
        <v>79602473</v>
      </c>
      <c r="B142" s="29" t="s">
        <v>18</v>
      </c>
    </row>
    <row r="143" spans="1:2" ht="20.100000000000001" hidden="1" customHeight="1" x14ac:dyDescent="0.45">
      <c r="A143" s="29">
        <v>53118295</v>
      </c>
      <c r="B143" s="29" t="s">
        <v>18</v>
      </c>
    </row>
    <row r="144" spans="1:2" ht="20.100000000000001" hidden="1" customHeight="1" x14ac:dyDescent="0.45">
      <c r="A144" s="29">
        <v>53007874</v>
      </c>
      <c r="B144" s="29" t="s">
        <v>18</v>
      </c>
    </row>
    <row r="145" spans="1:2" ht="20.100000000000001" hidden="1" customHeight="1" x14ac:dyDescent="0.45">
      <c r="A145" s="29">
        <v>52778145</v>
      </c>
      <c r="B145" s="29" t="s">
        <v>18</v>
      </c>
    </row>
    <row r="146" spans="1:2" ht="20.100000000000001" hidden="1" customHeight="1" x14ac:dyDescent="0.45">
      <c r="A146" s="29">
        <v>6661910</v>
      </c>
      <c r="B146" s="29" t="s">
        <v>18</v>
      </c>
    </row>
    <row r="147" spans="1:2" ht="20.100000000000001" hidden="1" customHeight="1" x14ac:dyDescent="0.45">
      <c r="A147" s="29">
        <v>5204313</v>
      </c>
      <c r="B147" s="29" t="s">
        <v>18</v>
      </c>
    </row>
    <row r="148" spans="1:2" ht="20.100000000000001" hidden="1" customHeight="1" x14ac:dyDescent="0.45">
      <c r="A148" s="29">
        <v>4987108</v>
      </c>
      <c r="B148" s="29" t="s">
        <v>18</v>
      </c>
    </row>
    <row r="149" spans="1:2" ht="20.100000000000001" hidden="1" customHeight="1" x14ac:dyDescent="0.45">
      <c r="A149" s="29">
        <v>4873181</v>
      </c>
      <c r="B149" s="29" t="s">
        <v>18</v>
      </c>
    </row>
    <row r="150" spans="1:2" ht="20.100000000000001" hidden="1" customHeight="1" x14ac:dyDescent="0.45">
      <c r="A150" s="29">
        <v>1233907395</v>
      </c>
      <c r="B150" s="29" t="s">
        <v>8</v>
      </c>
    </row>
    <row r="151" spans="1:2" ht="20.100000000000001" hidden="1" customHeight="1" x14ac:dyDescent="0.45">
      <c r="A151" s="29">
        <v>1193045595</v>
      </c>
      <c r="B151" s="29" t="s">
        <v>8</v>
      </c>
    </row>
    <row r="152" spans="1:2" ht="20.100000000000001" hidden="1" customHeight="1" x14ac:dyDescent="0.45">
      <c r="A152" s="29">
        <v>1122649359</v>
      </c>
      <c r="B152" s="29" t="s">
        <v>8</v>
      </c>
    </row>
    <row r="153" spans="1:2" ht="20.100000000000001" hidden="1" customHeight="1" x14ac:dyDescent="0.45">
      <c r="A153" s="29">
        <v>1067910006</v>
      </c>
      <c r="B153" s="29" t="s">
        <v>8</v>
      </c>
    </row>
    <row r="154" spans="1:2" ht="20.100000000000001" hidden="1" customHeight="1" x14ac:dyDescent="0.45">
      <c r="A154" s="29">
        <v>1046400639</v>
      </c>
      <c r="B154" s="29" t="s">
        <v>8</v>
      </c>
    </row>
    <row r="155" spans="1:2" ht="20.100000000000001" hidden="1" customHeight="1" x14ac:dyDescent="0.45">
      <c r="A155" s="29">
        <v>1031812916</v>
      </c>
      <c r="B155" s="29" t="s">
        <v>8</v>
      </c>
    </row>
    <row r="156" spans="1:2" ht="20.100000000000001" hidden="1" customHeight="1" x14ac:dyDescent="0.45">
      <c r="A156" s="29">
        <v>1030680394</v>
      </c>
      <c r="B156" s="29" t="s">
        <v>8</v>
      </c>
    </row>
    <row r="157" spans="1:2" ht="20.100000000000001" hidden="1" customHeight="1" x14ac:dyDescent="0.45">
      <c r="A157" s="29">
        <v>1026595300</v>
      </c>
      <c r="B157" s="29" t="s">
        <v>8</v>
      </c>
    </row>
    <row r="158" spans="1:2" ht="20.100000000000001" hidden="1" customHeight="1" x14ac:dyDescent="0.45">
      <c r="A158" s="29">
        <v>1024532563</v>
      </c>
      <c r="B158" s="29" t="s">
        <v>8</v>
      </c>
    </row>
    <row r="159" spans="1:2" ht="20.100000000000001" hidden="1" customHeight="1" x14ac:dyDescent="0.45">
      <c r="A159" s="29">
        <v>1023866150</v>
      </c>
      <c r="B159" s="29" t="s">
        <v>8</v>
      </c>
    </row>
    <row r="160" spans="1:2" ht="20.100000000000001" hidden="1" customHeight="1" x14ac:dyDescent="0.45">
      <c r="A160" s="29">
        <v>1022392525</v>
      </c>
      <c r="B160" s="29" t="s">
        <v>8</v>
      </c>
    </row>
    <row r="161" spans="1:2" ht="20.100000000000001" hidden="1" customHeight="1" x14ac:dyDescent="0.45">
      <c r="A161" s="29">
        <v>1019124283</v>
      </c>
      <c r="B161" s="29" t="s">
        <v>8</v>
      </c>
    </row>
    <row r="162" spans="1:2" ht="20.100000000000001" hidden="1" customHeight="1" x14ac:dyDescent="0.45">
      <c r="A162" s="29">
        <v>1016951541</v>
      </c>
      <c r="B162" s="29" t="s">
        <v>8</v>
      </c>
    </row>
    <row r="163" spans="1:2" ht="20.100000000000001" hidden="1" customHeight="1" x14ac:dyDescent="0.45">
      <c r="A163" s="29">
        <v>1016071262</v>
      </c>
      <c r="B163" s="29" t="s">
        <v>8</v>
      </c>
    </row>
    <row r="164" spans="1:2" ht="20.100000000000001" hidden="1" customHeight="1" x14ac:dyDescent="0.45">
      <c r="A164" s="29">
        <v>1014206594</v>
      </c>
      <c r="B164" s="29" t="s">
        <v>8</v>
      </c>
    </row>
    <row r="165" spans="1:2" ht="20.100000000000001" hidden="1" customHeight="1" x14ac:dyDescent="0.45">
      <c r="A165" s="29">
        <v>1010206342</v>
      </c>
      <c r="B165" s="29" t="s">
        <v>8</v>
      </c>
    </row>
    <row r="166" spans="1:2" ht="20.100000000000001" hidden="1" customHeight="1" x14ac:dyDescent="0.45">
      <c r="A166" s="29">
        <v>1001215716</v>
      </c>
      <c r="B166" s="29" t="s">
        <v>8</v>
      </c>
    </row>
    <row r="167" spans="1:2" ht="20.100000000000001" hidden="1" customHeight="1" x14ac:dyDescent="0.45">
      <c r="A167" s="29">
        <v>1000464386</v>
      </c>
      <c r="B167" s="29" t="s">
        <v>8</v>
      </c>
    </row>
    <row r="168" spans="1:2" ht="20.100000000000001" hidden="1" customHeight="1" x14ac:dyDescent="0.45">
      <c r="A168" s="29">
        <v>1000380971</v>
      </c>
      <c r="B168" s="29" t="s">
        <v>8</v>
      </c>
    </row>
    <row r="169" spans="1:2" ht="20.100000000000001" hidden="1" customHeight="1" x14ac:dyDescent="0.45">
      <c r="A169" s="29">
        <v>1000286730</v>
      </c>
      <c r="B169" s="29" t="s">
        <v>8</v>
      </c>
    </row>
    <row r="170" spans="1:2" ht="20.100000000000001" hidden="1" customHeight="1" x14ac:dyDescent="0.45">
      <c r="A170" s="29">
        <v>1000253087</v>
      </c>
      <c r="B170" s="29" t="s">
        <v>8</v>
      </c>
    </row>
    <row r="171" spans="1:2" ht="20.100000000000001" hidden="1" customHeight="1" x14ac:dyDescent="0.45">
      <c r="A171" s="29">
        <v>1000223421</v>
      </c>
      <c r="B171" s="29" t="s">
        <v>8</v>
      </c>
    </row>
    <row r="172" spans="1:2" ht="20.100000000000001" hidden="1" customHeight="1" x14ac:dyDescent="0.45">
      <c r="A172" s="29">
        <v>80771624</v>
      </c>
      <c r="B172" s="29" t="s">
        <v>8</v>
      </c>
    </row>
    <row r="173" spans="1:2" ht="20.100000000000001" hidden="1" customHeight="1" x14ac:dyDescent="0.45">
      <c r="A173" s="29">
        <v>79171343</v>
      </c>
      <c r="B173" s="29" t="s">
        <v>8</v>
      </c>
    </row>
    <row r="174" spans="1:2" ht="20.100000000000001" hidden="1" customHeight="1" x14ac:dyDescent="0.45">
      <c r="A174" s="29">
        <v>72303517</v>
      </c>
      <c r="B174" s="29" t="s">
        <v>8</v>
      </c>
    </row>
    <row r="175" spans="1:2" ht="20.100000000000001" hidden="1" customHeight="1" x14ac:dyDescent="0.45">
      <c r="A175" s="29">
        <v>52986325</v>
      </c>
      <c r="B175" s="29" t="s">
        <v>8</v>
      </c>
    </row>
    <row r="176" spans="1:2" ht="20.100000000000001" hidden="1" customHeight="1" x14ac:dyDescent="0.45">
      <c r="A176" s="29">
        <v>52873856</v>
      </c>
      <c r="B176" s="29" t="s">
        <v>8</v>
      </c>
    </row>
    <row r="177" spans="1:2" ht="20.100000000000001" hidden="1" customHeight="1" x14ac:dyDescent="0.45">
      <c r="A177" s="29">
        <v>52391289</v>
      </c>
      <c r="B177" s="29" t="s">
        <v>8</v>
      </c>
    </row>
    <row r="178" spans="1:2" ht="20.100000000000001" hidden="1" customHeight="1" x14ac:dyDescent="0.45">
      <c r="A178" s="29">
        <v>52357758</v>
      </c>
      <c r="B178" s="29" t="s">
        <v>8</v>
      </c>
    </row>
    <row r="179" spans="1:2" ht="20.100000000000001" hidden="1" customHeight="1" x14ac:dyDescent="0.45">
      <c r="A179" s="29">
        <v>52151656</v>
      </c>
      <c r="B179" s="29" t="s">
        <v>8</v>
      </c>
    </row>
    <row r="180" spans="1:2" ht="20.100000000000001" hidden="1" customHeight="1" x14ac:dyDescent="0.45">
      <c r="A180" s="29">
        <v>24070775</v>
      </c>
      <c r="B180" s="29" t="s">
        <v>8</v>
      </c>
    </row>
    <row r="181" spans="1:2" ht="20.100000000000001" hidden="1" customHeight="1" x14ac:dyDescent="0.45">
      <c r="A181" s="29">
        <v>6454597</v>
      </c>
      <c r="B181" s="29" t="s">
        <v>8</v>
      </c>
    </row>
    <row r="182" spans="1:2" ht="20.100000000000001" hidden="1" customHeight="1" x14ac:dyDescent="0.45">
      <c r="A182" s="29">
        <v>6174737</v>
      </c>
      <c r="B182" s="29" t="s">
        <v>8</v>
      </c>
    </row>
    <row r="183" spans="1:2" ht="20.100000000000001" hidden="1" customHeight="1" x14ac:dyDescent="0.45">
      <c r="A183" s="29">
        <v>5756332</v>
      </c>
      <c r="B183" s="29" t="s">
        <v>8</v>
      </c>
    </row>
    <row r="184" spans="1:2" ht="20.100000000000001" hidden="1" customHeight="1" x14ac:dyDescent="0.45">
      <c r="A184" s="29">
        <v>5453915</v>
      </c>
      <c r="B184" s="29" t="s">
        <v>8</v>
      </c>
    </row>
    <row r="185" spans="1:2" ht="20.100000000000001" hidden="1" customHeight="1" x14ac:dyDescent="0.45">
      <c r="A185" s="29">
        <v>5281103</v>
      </c>
      <c r="B185" s="29" t="s">
        <v>8</v>
      </c>
    </row>
    <row r="186" spans="1:2" ht="20.100000000000001" hidden="1" customHeight="1" x14ac:dyDescent="0.45">
      <c r="A186" s="29">
        <v>5011894</v>
      </c>
      <c r="B186" s="29" t="s">
        <v>8</v>
      </c>
    </row>
    <row r="187" spans="1:2" ht="20.100000000000001" hidden="1" customHeight="1" x14ac:dyDescent="0.45">
      <c r="A187" s="29">
        <v>4890407</v>
      </c>
      <c r="B187" s="29" t="s">
        <v>8</v>
      </c>
    </row>
    <row r="188" spans="1:2" ht="20.100000000000001" hidden="1" customHeight="1" x14ac:dyDescent="0.45">
      <c r="A188" s="29">
        <v>4551316</v>
      </c>
      <c r="B188" s="29" t="s">
        <v>8</v>
      </c>
    </row>
    <row r="189" spans="1:2" ht="20.100000000000001" hidden="1" customHeight="1" x14ac:dyDescent="0.45">
      <c r="A189" s="29">
        <v>1924588</v>
      </c>
      <c r="B189" s="29" t="s">
        <v>8</v>
      </c>
    </row>
    <row r="190" spans="1:2" ht="20.100000000000001" hidden="1" customHeight="1" x14ac:dyDescent="0.45">
      <c r="A190" s="29">
        <v>1479548</v>
      </c>
      <c r="B190" s="29" t="s">
        <v>8</v>
      </c>
    </row>
    <row r="191" spans="1:2" ht="20.100000000000001" hidden="1" customHeight="1" x14ac:dyDescent="0.45">
      <c r="A191" s="29">
        <v>1424124</v>
      </c>
      <c r="B191" s="29" t="s">
        <v>8</v>
      </c>
    </row>
    <row r="192" spans="1:2" ht="20.100000000000001" hidden="1" customHeight="1" x14ac:dyDescent="0.45">
      <c r="A192" s="29">
        <v>1245634</v>
      </c>
      <c r="B192" s="29" t="s">
        <v>8</v>
      </c>
    </row>
    <row r="193" spans="1:2" ht="20.100000000000001" hidden="1" customHeight="1" x14ac:dyDescent="0.45">
      <c r="A193" s="29">
        <v>1143235309</v>
      </c>
      <c r="B193" s="2" t="s">
        <v>30</v>
      </c>
    </row>
    <row r="194" spans="1:2" ht="20.100000000000001" hidden="1" customHeight="1" x14ac:dyDescent="0.45">
      <c r="A194" s="29">
        <v>1111196583</v>
      </c>
      <c r="B194" s="2" t="s">
        <v>30</v>
      </c>
    </row>
    <row r="195" spans="1:2" ht="20.100000000000001" hidden="1" customHeight="1" x14ac:dyDescent="0.45">
      <c r="A195" s="29">
        <v>1106890899</v>
      </c>
      <c r="B195" s="2" t="s">
        <v>30</v>
      </c>
    </row>
    <row r="196" spans="1:2" ht="20.100000000000001" hidden="1" customHeight="1" x14ac:dyDescent="0.45">
      <c r="A196" s="29">
        <v>1054226084</v>
      </c>
      <c r="B196" s="2" t="s">
        <v>30</v>
      </c>
    </row>
    <row r="197" spans="1:2" ht="20.100000000000001" hidden="1" customHeight="1" x14ac:dyDescent="0.45">
      <c r="A197" s="29">
        <v>1053326828</v>
      </c>
      <c r="B197" s="2" t="s">
        <v>30</v>
      </c>
    </row>
    <row r="198" spans="1:2" ht="20.100000000000001" hidden="1" customHeight="1" x14ac:dyDescent="0.45">
      <c r="A198" s="29">
        <v>1050693310</v>
      </c>
      <c r="B198" s="2" t="s">
        <v>30</v>
      </c>
    </row>
    <row r="199" spans="1:2" ht="20.100000000000001" hidden="1" customHeight="1" x14ac:dyDescent="0.45">
      <c r="A199" s="29">
        <v>1041440333</v>
      </c>
      <c r="B199" s="2" t="s">
        <v>30</v>
      </c>
    </row>
    <row r="200" spans="1:2" ht="20.100000000000001" hidden="1" customHeight="1" x14ac:dyDescent="0.45">
      <c r="A200" s="29">
        <v>1033677495</v>
      </c>
      <c r="B200" s="2" t="s">
        <v>30</v>
      </c>
    </row>
    <row r="201" spans="1:2" ht="20.100000000000001" hidden="1" customHeight="1" x14ac:dyDescent="0.45">
      <c r="A201" s="29">
        <v>1030631143</v>
      </c>
      <c r="B201" s="2" t="s">
        <v>30</v>
      </c>
    </row>
    <row r="202" spans="1:2" ht="20.100000000000001" hidden="1" customHeight="1" x14ac:dyDescent="0.45">
      <c r="A202" s="29">
        <v>1019988293</v>
      </c>
      <c r="B202" s="2" t="s">
        <v>30</v>
      </c>
    </row>
    <row r="203" spans="1:2" ht="20.100000000000001" hidden="1" customHeight="1" x14ac:dyDescent="0.45">
      <c r="A203" s="29">
        <v>1019118387</v>
      </c>
      <c r="B203" s="2" t="s">
        <v>30</v>
      </c>
    </row>
    <row r="204" spans="1:2" ht="20.100000000000001" hidden="1" customHeight="1" x14ac:dyDescent="0.45">
      <c r="A204" s="29">
        <v>1019114815</v>
      </c>
      <c r="B204" s="2" t="s">
        <v>30</v>
      </c>
    </row>
    <row r="205" spans="1:2" ht="20.100000000000001" hidden="1" customHeight="1" x14ac:dyDescent="0.45">
      <c r="A205" s="29">
        <v>1019077887</v>
      </c>
      <c r="B205" s="2" t="s">
        <v>30</v>
      </c>
    </row>
    <row r="206" spans="1:2" ht="20.100000000000001" hidden="1" customHeight="1" x14ac:dyDescent="0.45">
      <c r="A206" s="29">
        <v>1014241497</v>
      </c>
      <c r="B206" s="2" t="s">
        <v>30</v>
      </c>
    </row>
    <row r="207" spans="1:2" ht="20.100000000000001" hidden="1" customHeight="1" x14ac:dyDescent="0.45">
      <c r="A207" s="29">
        <v>1013595444</v>
      </c>
      <c r="B207" s="2" t="s">
        <v>30</v>
      </c>
    </row>
    <row r="208" spans="1:2" ht="20.100000000000001" hidden="1" customHeight="1" x14ac:dyDescent="0.45">
      <c r="A208" s="29">
        <v>1010210552</v>
      </c>
      <c r="B208" s="2" t="s">
        <v>30</v>
      </c>
    </row>
    <row r="209" spans="1:2" ht="20.100000000000001" hidden="1" customHeight="1" x14ac:dyDescent="0.45">
      <c r="A209" s="29">
        <v>1007288345</v>
      </c>
      <c r="B209" s="2" t="s">
        <v>30</v>
      </c>
    </row>
    <row r="210" spans="1:2" ht="20.100000000000001" hidden="1" customHeight="1" x14ac:dyDescent="0.45">
      <c r="A210" s="29">
        <v>1003656301</v>
      </c>
      <c r="B210" s="2" t="s">
        <v>30</v>
      </c>
    </row>
    <row r="211" spans="1:2" ht="20.100000000000001" hidden="1" customHeight="1" x14ac:dyDescent="0.45">
      <c r="A211" s="29">
        <v>1002303821</v>
      </c>
      <c r="B211" s="2" t="s">
        <v>30</v>
      </c>
    </row>
    <row r="212" spans="1:2" ht="20.100000000000001" hidden="1" customHeight="1" x14ac:dyDescent="0.45">
      <c r="A212" s="29">
        <v>1001115014</v>
      </c>
      <c r="B212" s="2" t="s">
        <v>30</v>
      </c>
    </row>
    <row r="213" spans="1:2" ht="20.100000000000001" hidden="1" customHeight="1" x14ac:dyDescent="0.45">
      <c r="A213" s="29">
        <v>1000801875</v>
      </c>
      <c r="B213" s="2" t="s">
        <v>30</v>
      </c>
    </row>
    <row r="214" spans="1:2" ht="20.100000000000001" hidden="1" customHeight="1" x14ac:dyDescent="0.45">
      <c r="A214" s="29">
        <v>1000719280</v>
      </c>
      <c r="B214" s="2" t="s">
        <v>30</v>
      </c>
    </row>
    <row r="215" spans="1:2" ht="20.100000000000001" hidden="1" customHeight="1" x14ac:dyDescent="0.45">
      <c r="A215" s="29">
        <v>1000470480</v>
      </c>
      <c r="B215" s="2" t="s">
        <v>30</v>
      </c>
    </row>
    <row r="216" spans="1:2" ht="20.100000000000001" hidden="1" customHeight="1" x14ac:dyDescent="0.45">
      <c r="A216" s="29">
        <v>1000331392</v>
      </c>
      <c r="B216" s="2" t="s">
        <v>30</v>
      </c>
    </row>
    <row r="217" spans="1:2" ht="20.100000000000001" hidden="1" customHeight="1" x14ac:dyDescent="0.45">
      <c r="A217" s="29">
        <v>1000180798</v>
      </c>
      <c r="B217" s="2" t="s">
        <v>30</v>
      </c>
    </row>
    <row r="218" spans="1:2" ht="20.100000000000001" hidden="1" customHeight="1" x14ac:dyDescent="0.45">
      <c r="A218" s="29">
        <v>80179187</v>
      </c>
      <c r="B218" s="2" t="s">
        <v>30</v>
      </c>
    </row>
    <row r="219" spans="1:2" ht="20.100000000000001" hidden="1" customHeight="1" x14ac:dyDescent="0.45">
      <c r="A219" s="29">
        <v>79528359</v>
      </c>
      <c r="B219" s="2" t="s">
        <v>30</v>
      </c>
    </row>
    <row r="220" spans="1:2" ht="20.100000000000001" hidden="1" customHeight="1" x14ac:dyDescent="0.45">
      <c r="A220" s="29">
        <v>79523179</v>
      </c>
      <c r="B220" s="2" t="s">
        <v>30</v>
      </c>
    </row>
    <row r="221" spans="1:2" ht="20.100000000000001" hidden="1" customHeight="1" x14ac:dyDescent="0.45">
      <c r="A221" s="29">
        <v>73435606</v>
      </c>
      <c r="B221" s="2" t="s">
        <v>30</v>
      </c>
    </row>
    <row r="222" spans="1:2" ht="20.100000000000001" hidden="1" customHeight="1" x14ac:dyDescent="0.45">
      <c r="A222" s="29">
        <v>71257569</v>
      </c>
      <c r="B222" s="2" t="s">
        <v>30</v>
      </c>
    </row>
    <row r="223" spans="1:2" ht="20.100000000000001" hidden="1" customHeight="1" x14ac:dyDescent="0.45">
      <c r="A223" s="29">
        <v>8796744</v>
      </c>
      <c r="B223" s="2" t="s">
        <v>30</v>
      </c>
    </row>
    <row r="224" spans="1:2" ht="20.100000000000001" hidden="1" customHeight="1" x14ac:dyDescent="0.45">
      <c r="A224" s="29">
        <v>7552517</v>
      </c>
      <c r="B224" s="2" t="s">
        <v>30</v>
      </c>
    </row>
    <row r="225" spans="1:2" ht="20.100000000000001" hidden="1" customHeight="1" x14ac:dyDescent="0.45">
      <c r="A225" s="29">
        <v>6593420</v>
      </c>
      <c r="B225" s="2" t="s">
        <v>30</v>
      </c>
    </row>
    <row r="226" spans="1:2" ht="20.100000000000001" hidden="1" customHeight="1" x14ac:dyDescent="0.45">
      <c r="A226" s="29">
        <v>6467161</v>
      </c>
      <c r="B226" s="2" t="s">
        <v>30</v>
      </c>
    </row>
    <row r="227" spans="1:2" ht="20.100000000000001" hidden="1" customHeight="1" x14ac:dyDescent="0.45">
      <c r="A227" s="29">
        <v>6404611</v>
      </c>
      <c r="B227" s="2" t="s">
        <v>30</v>
      </c>
    </row>
    <row r="228" spans="1:2" ht="20.100000000000001" hidden="1" customHeight="1" x14ac:dyDescent="0.45">
      <c r="A228" s="29">
        <v>5383246</v>
      </c>
      <c r="B228" s="2" t="s">
        <v>30</v>
      </c>
    </row>
    <row r="229" spans="1:2" ht="20.100000000000001" hidden="1" customHeight="1" x14ac:dyDescent="0.45">
      <c r="A229" s="29">
        <v>5154768</v>
      </c>
      <c r="B229" s="2" t="s">
        <v>30</v>
      </c>
    </row>
    <row r="230" spans="1:2" ht="20.100000000000001" hidden="1" customHeight="1" x14ac:dyDescent="0.45">
      <c r="A230" s="29">
        <v>4648434</v>
      </c>
      <c r="B230" s="2" t="s">
        <v>30</v>
      </c>
    </row>
    <row r="231" spans="1:2" ht="20.100000000000001" hidden="1" customHeight="1" x14ac:dyDescent="0.45">
      <c r="A231" s="29">
        <v>2947292</v>
      </c>
      <c r="B231" s="2" t="s">
        <v>30</v>
      </c>
    </row>
    <row r="232" spans="1:2" ht="20.100000000000001" hidden="1" customHeight="1" x14ac:dyDescent="0.45">
      <c r="A232" s="29">
        <v>317591</v>
      </c>
      <c r="B232" s="2" t="s">
        <v>30</v>
      </c>
    </row>
    <row r="233" spans="1:2" ht="20.100000000000001" hidden="1" customHeight="1" x14ac:dyDescent="0.45">
      <c r="A233" s="29"/>
      <c r="B233" s="29"/>
    </row>
    <row r="234" spans="1:2" ht="20.100000000000001" hidden="1" customHeight="1" x14ac:dyDescent="0.45">
      <c r="A234" s="29"/>
      <c r="B234" s="29"/>
    </row>
    <row r="235" spans="1:2" ht="20.100000000000001" hidden="1" customHeight="1" x14ac:dyDescent="0.45">
      <c r="A235" s="29"/>
      <c r="B235" s="29"/>
    </row>
    <row r="236" spans="1:2" ht="20.100000000000001" hidden="1" customHeight="1" x14ac:dyDescent="0.45">
      <c r="A236" s="29"/>
      <c r="B236" s="29"/>
    </row>
    <row r="237" spans="1:2" x14ac:dyDescent="0.45">
      <c r="A237" s="29"/>
      <c r="B237" s="29"/>
    </row>
    <row r="238" spans="1:2" x14ac:dyDescent="0.45">
      <c r="A238" s="29"/>
      <c r="B238" s="29"/>
    </row>
    <row r="239" spans="1:2" x14ac:dyDescent="0.45">
      <c r="A239" s="29"/>
      <c r="B239" s="29"/>
    </row>
    <row r="240" spans="1:2" x14ac:dyDescent="0.45">
      <c r="A240" s="29"/>
      <c r="B240" s="29"/>
    </row>
    <row r="241" spans="1:2" x14ac:dyDescent="0.45">
      <c r="A241" s="29"/>
      <c r="B241" s="29"/>
    </row>
    <row r="242" spans="1:2" x14ac:dyDescent="0.45">
      <c r="A242" s="29"/>
      <c r="B242" s="29"/>
    </row>
    <row r="243" spans="1:2" x14ac:dyDescent="0.45">
      <c r="A243" s="29"/>
      <c r="B243" s="29"/>
    </row>
    <row r="244" spans="1:2" x14ac:dyDescent="0.45">
      <c r="A244" s="29"/>
      <c r="B244" s="29"/>
    </row>
    <row r="245" spans="1:2" x14ac:dyDescent="0.45">
      <c r="A245" s="29"/>
      <c r="B245" s="29"/>
    </row>
    <row r="246" spans="1:2" x14ac:dyDescent="0.45">
      <c r="A246" s="29"/>
      <c r="B246" s="29"/>
    </row>
    <row r="247" spans="1:2" x14ac:dyDescent="0.45">
      <c r="A247" s="29"/>
      <c r="B247" s="29"/>
    </row>
    <row r="248" spans="1:2" x14ac:dyDescent="0.45">
      <c r="A248" s="29"/>
      <c r="B248" s="29"/>
    </row>
    <row r="249" spans="1:2" x14ac:dyDescent="0.45">
      <c r="A249" s="29"/>
      <c r="B249" s="29"/>
    </row>
    <row r="250" spans="1:2" x14ac:dyDescent="0.45">
      <c r="A250" s="29"/>
      <c r="B250" s="29"/>
    </row>
    <row r="251" spans="1:2" x14ac:dyDescent="0.45">
      <c r="A251" s="29"/>
      <c r="B251" s="29"/>
    </row>
    <row r="252" spans="1:2" x14ac:dyDescent="0.45">
      <c r="A252" s="29"/>
      <c r="B252" s="29"/>
    </row>
    <row r="253" spans="1:2" x14ac:dyDescent="0.45">
      <c r="A253" s="29"/>
      <c r="B253" s="29"/>
    </row>
    <row r="254" spans="1:2" x14ac:dyDescent="0.45">
      <c r="A254" s="29"/>
      <c r="B254" s="29"/>
    </row>
    <row r="255" spans="1:2" x14ac:dyDescent="0.45">
      <c r="A255" s="29"/>
      <c r="B255" s="29"/>
    </row>
    <row r="256" spans="1:2" x14ac:dyDescent="0.45">
      <c r="A256" s="29"/>
      <c r="B256" s="29"/>
    </row>
    <row r="257" spans="1:2" x14ac:dyDescent="0.45">
      <c r="A257" s="29"/>
      <c r="B257" s="29"/>
    </row>
    <row r="258" spans="1:2" x14ac:dyDescent="0.45">
      <c r="A258" s="29"/>
      <c r="B258" s="29"/>
    </row>
    <row r="259" spans="1:2" x14ac:dyDescent="0.45">
      <c r="A259" s="29"/>
      <c r="B259" s="29"/>
    </row>
    <row r="260" spans="1:2" x14ac:dyDescent="0.45">
      <c r="A260" s="29"/>
      <c r="B260" s="29"/>
    </row>
    <row r="261" spans="1:2" x14ac:dyDescent="0.45">
      <c r="A261" s="29"/>
      <c r="B261" s="29"/>
    </row>
    <row r="262" spans="1:2" x14ac:dyDescent="0.45">
      <c r="A262" s="29"/>
      <c r="B262" s="29"/>
    </row>
    <row r="263" spans="1:2" x14ac:dyDescent="0.45">
      <c r="A263" s="29"/>
      <c r="B263" s="29"/>
    </row>
    <row r="264" spans="1:2" x14ac:dyDescent="0.45">
      <c r="A264" s="29"/>
      <c r="B264" s="29"/>
    </row>
    <row r="265" spans="1:2" x14ac:dyDescent="0.45">
      <c r="A265" s="29"/>
      <c r="B265" s="29"/>
    </row>
    <row r="266" spans="1:2" x14ac:dyDescent="0.45">
      <c r="A266" s="29"/>
      <c r="B266" s="29"/>
    </row>
    <row r="267" spans="1:2" x14ac:dyDescent="0.45">
      <c r="A267" s="29"/>
      <c r="B267" s="29"/>
    </row>
    <row r="268" spans="1:2" x14ac:dyDescent="0.45">
      <c r="A268" s="29"/>
      <c r="B268" s="29"/>
    </row>
    <row r="269" spans="1:2" x14ac:dyDescent="0.45">
      <c r="A269" s="29"/>
      <c r="B269" s="29"/>
    </row>
    <row r="270" spans="1:2" x14ac:dyDescent="0.45">
      <c r="A270" s="29"/>
      <c r="B270" s="29"/>
    </row>
    <row r="271" spans="1:2" x14ac:dyDescent="0.45">
      <c r="A271" s="29"/>
      <c r="B271" s="29"/>
    </row>
    <row r="272" spans="1:2" x14ac:dyDescent="0.45">
      <c r="A272" s="29"/>
      <c r="B272" s="29"/>
    </row>
    <row r="273" spans="1:2" x14ac:dyDescent="0.45">
      <c r="A273" s="29"/>
      <c r="B273" s="29"/>
    </row>
    <row r="274" spans="1:2" x14ac:dyDescent="0.45">
      <c r="A274" s="29"/>
      <c r="B274" s="29"/>
    </row>
    <row r="275" spans="1:2" x14ac:dyDescent="0.45">
      <c r="A275" s="29"/>
      <c r="B275" s="29"/>
    </row>
    <row r="276" spans="1:2" x14ac:dyDescent="0.45">
      <c r="A276" s="29"/>
      <c r="B276" s="29"/>
    </row>
    <row r="277" spans="1:2" x14ac:dyDescent="0.45">
      <c r="A277" s="29"/>
      <c r="B277" s="29"/>
    </row>
    <row r="278" spans="1:2" x14ac:dyDescent="0.45">
      <c r="A278" s="29"/>
      <c r="B278" s="29"/>
    </row>
    <row r="279" spans="1:2" x14ac:dyDescent="0.45">
      <c r="A279" s="29"/>
      <c r="B279" s="29"/>
    </row>
    <row r="280" spans="1:2" x14ac:dyDescent="0.45">
      <c r="A280" s="29"/>
      <c r="B280" s="29"/>
    </row>
    <row r="281" spans="1:2" x14ac:dyDescent="0.45">
      <c r="A281" s="29"/>
      <c r="B281" s="29"/>
    </row>
    <row r="282" spans="1:2" x14ac:dyDescent="0.45">
      <c r="A282" s="29"/>
      <c r="B282" s="29"/>
    </row>
    <row r="283" spans="1:2" x14ac:dyDescent="0.45">
      <c r="A283" s="29"/>
      <c r="B283" s="29"/>
    </row>
    <row r="284" spans="1:2" x14ac:dyDescent="0.45">
      <c r="A284" s="29"/>
      <c r="B284" s="29"/>
    </row>
    <row r="285" spans="1:2" x14ac:dyDescent="0.45">
      <c r="A285" s="29"/>
      <c r="B285" s="29"/>
    </row>
    <row r="286" spans="1:2" x14ac:dyDescent="0.45">
      <c r="A286" s="29"/>
      <c r="B286" s="29"/>
    </row>
    <row r="287" spans="1:2" x14ac:dyDescent="0.45">
      <c r="A287" s="29"/>
      <c r="B287" s="29"/>
    </row>
    <row r="288" spans="1:2" x14ac:dyDescent="0.45">
      <c r="A288" s="29"/>
      <c r="B288" s="29"/>
    </row>
    <row r="289" spans="1:2" x14ac:dyDescent="0.45">
      <c r="A289" s="29"/>
      <c r="B289" s="29"/>
    </row>
    <row r="290" spans="1:2" x14ac:dyDescent="0.45">
      <c r="A290" s="29"/>
      <c r="B290" s="29"/>
    </row>
    <row r="291" spans="1:2" x14ac:dyDescent="0.45">
      <c r="A291" s="29"/>
      <c r="B291" s="29"/>
    </row>
    <row r="292" spans="1:2" x14ac:dyDescent="0.45">
      <c r="A292" s="29"/>
      <c r="B292" s="29"/>
    </row>
    <row r="293" spans="1:2" x14ac:dyDescent="0.45">
      <c r="A293" s="29"/>
      <c r="B293" s="29"/>
    </row>
    <row r="294" spans="1:2" x14ac:dyDescent="0.45">
      <c r="A294" s="29"/>
      <c r="B294" s="29"/>
    </row>
    <row r="295" spans="1:2" x14ac:dyDescent="0.45">
      <c r="A295" s="29"/>
      <c r="B295" s="29"/>
    </row>
    <row r="296" spans="1:2" x14ac:dyDescent="0.45">
      <c r="A296" s="29"/>
      <c r="B296" s="29"/>
    </row>
    <row r="297" spans="1:2" x14ac:dyDescent="0.45">
      <c r="A297" s="29"/>
      <c r="B297" s="29"/>
    </row>
    <row r="298" spans="1:2" x14ac:dyDescent="0.45">
      <c r="A298" s="29"/>
      <c r="B298" s="29"/>
    </row>
    <row r="299" spans="1:2" x14ac:dyDescent="0.45">
      <c r="A299" s="29"/>
      <c r="B299" s="29"/>
    </row>
    <row r="300" spans="1:2" x14ac:dyDescent="0.45">
      <c r="A300" s="29"/>
      <c r="B300" s="29"/>
    </row>
    <row r="301" spans="1:2" x14ac:dyDescent="0.45">
      <c r="A301" s="29"/>
      <c r="B301" s="29"/>
    </row>
  </sheetData>
  <autoFilter ref="A1:B236" xr:uid="{00000000-0009-0000-0000-000007000000}">
    <filterColumn colId="1">
      <filters>
        <filter val="Parmessano Atlantis"/>
      </filters>
    </filterColumn>
  </autoFilter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700-000001000000}">
            <xm:f>AND($A2&lt;&gt;"",COUNTIF(Empleados!$B:$B,$A2)=0)</xm:f>
            <x14:dxf>
              <fill>
                <patternFill patternType="solid">
                  <fgColor rgb="FFFFF2CC"/>
                </patternFill>
              </fill>
            </x14:dxf>
          </x14:cfRule>
          <xm:sqref>A2:B236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3"/>
  <sheetViews>
    <sheetView showGridLines="0" zoomScale="90" workbookViewId="0">
      <pane ySplit="1" topLeftCell="A3" activePane="bottomLeft" state="frozen"/>
      <selection pane="bottomLeft" activeCell="A14" sqref="A14:H14"/>
    </sheetView>
  </sheetViews>
  <sheetFormatPr defaultColWidth="9.1328125" defaultRowHeight="14.25" x14ac:dyDescent="0.45"/>
  <cols>
    <col min="1" max="1" width="24.86328125" bestFit="1" customWidth="1"/>
    <col min="2" max="2" width="27" bestFit="1" customWidth="1"/>
    <col min="3" max="3" width="9.86328125" bestFit="1" customWidth="1"/>
    <col min="4" max="4" width="24.3984375" bestFit="1" customWidth="1"/>
    <col min="5" max="5" width="49.59765625" customWidth="1"/>
    <col min="6" max="6" width="21.1328125" bestFit="1" customWidth="1"/>
    <col min="7" max="7" width="18.1328125" bestFit="1" customWidth="1"/>
    <col min="8" max="8" width="14.73046875" bestFit="1" customWidth="1"/>
    <col min="9" max="9" width="26" bestFit="1" customWidth="1"/>
    <col min="10" max="10" width="25.3984375" bestFit="1" customWidth="1"/>
    <col min="11" max="11" width="11.265625" bestFit="1" customWidth="1"/>
  </cols>
  <sheetData>
    <row r="1" spans="1:11" x14ac:dyDescent="0.45">
      <c r="A1" s="1" t="s">
        <v>474</v>
      </c>
      <c r="B1" s="1" t="s">
        <v>477</v>
      </c>
      <c r="C1" s="1" t="s">
        <v>478</v>
      </c>
      <c r="D1" s="1" t="s">
        <v>479</v>
      </c>
      <c r="E1" s="1" t="s">
        <v>480</v>
      </c>
      <c r="F1" s="1" t="s">
        <v>1246</v>
      </c>
      <c r="G1" s="1" t="s">
        <v>1247</v>
      </c>
      <c r="H1" s="1" t="s">
        <v>1248</v>
      </c>
      <c r="I1" s="1" t="s">
        <v>481</v>
      </c>
      <c r="J1" s="1" t="s">
        <v>482</v>
      </c>
      <c r="K1" s="1" t="s">
        <v>483</v>
      </c>
    </row>
    <row r="2" spans="1:11" x14ac:dyDescent="0.45">
      <c r="A2" s="14" t="s">
        <v>8</v>
      </c>
      <c r="B2" s="14" t="s">
        <v>1937</v>
      </c>
      <c r="C2" s="14" t="s">
        <v>1249</v>
      </c>
      <c r="D2" s="14" t="s">
        <v>1939</v>
      </c>
      <c r="E2" s="15" t="s">
        <v>1250</v>
      </c>
      <c r="F2" s="14" t="s">
        <v>1938</v>
      </c>
      <c r="G2" s="19">
        <f>TIMEVALUE('Horarios Sucursal'!C23)</f>
        <v>0.25</v>
      </c>
      <c r="H2" s="19">
        <f>TIMEVALUE('Horarios Sucursal'!D23)</f>
        <v>0.33333333333333331</v>
      </c>
      <c r="I2" s="14"/>
      <c r="J2" s="14"/>
      <c r="K2" s="14"/>
    </row>
    <row r="3" spans="1:11" ht="26.25" x14ac:dyDescent="0.45">
      <c r="A3" s="14" t="s">
        <v>8</v>
      </c>
      <c r="B3" s="14" t="s">
        <v>1940</v>
      </c>
      <c r="C3" s="14" t="s">
        <v>1249</v>
      </c>
      <c r="D3" s="14" t="s">
        <v>1941</v>
      </c>
      <c r="E3" s="15" t="s">
        <v>1942</v>
      </c>
      <c r="F3" s="14" t="s">
        <v>1943</v>
      </c>
      <c r="G3" s="20">
        <f>TIMEVALUE('Horarios Sucursal'!E23)</f>
        <v>0.875</v>
      </c>
      <c r="H3" s="20">
        <f>TIMEVALUE('Horarios Sucursal'!F23)</f>
        <v>0.91666666666666663</v>
      </c>
      <c r="I3" s="16"/>
      <c r="J3" s="16"/>
      <c r="K3" s="16"/>
    </row>
    <row r="4" spans="1:11" x14ac:dyDescent="0.45">
      <c r="A4" s="17" t="s">
        <v>14</v>
      </c>
      <c r="B4" s="17" t="s">
        <v>1937</v>
      </c>
      <c r="C4" s="17" t="s">
        <v>1249</v>
      </c>
      <c r="D4" s="17" t="s">
        <v>1939</v>
      </c>
      <c r="E4" s="18" t="s">
        <v>1250</v>
      </c>
      <c r="F4" s="17" t="s">
        <v>1938</v>
      </c>
      <c r="G4" s="20">
        <f>TIMEVALUE('Horarios Sucursal'!C2)</f>
        <v>0.25</v>
      </c>
      <c r="H4" s="20">
        <f>TIMEVALUE('Horarios Sucursal'!D2)</f>
        <v>0.33333333333333331</v>
      </c>
      <c r="I4" s="16"/>
      <c r="J4" s="16"/>
      <c r="K4" s="16"/>
    </row>
    <row r="5" spans="1:11" ht="26.25" x14ac:dyDescent="0.45">
      <c r="A5" s="17" t="s">
        <v>14</v>
      </c>
      <c r="B5" s="17" t="s">
        <v>1940</v>
      </c>
      <c r="C5" s="17" t="s">
        <v>1249</v>
      </c>
      <c r="D5" s="17" t="s">
        <v>1941</v>
      </c>
      <c r="E5" s="18" t="s">
        <v>1942</v>
      </c>
      <c r="F5" s="17" t="s">
        <v>1943</v>
      </c>
      <c r="G5" s="20">
        <f>TIMEVALUE('Horarios Sucursal'!E2)</f>
        <v>0.875</v>
      </c>
      <c r="H5" s="20">
        <f>TIMEVALUE('Horarios Sucursal'!F2)</f>
        <v>0.91666666666666663</v>
      </c>
      <c r="I5" s="16"/>
      <c r="J5" s="16"/>
      <c r="K5" s="16"/>
    </row>
    <row r="6" spans="1:11" x14ac:dyDescent="0.45">
      <c r="A6" s="17" t="s">
        <v>18</v>
      </c>
      <c r="B6" s="17" t="s">
        <v>1937</v>
      </c>
      <c r="C6" s="17" t="s">
        <v>1249</v>
      </c>
      <c r="D6" s="17" t="s">
        <v>1939</v>
      </c>
      <c r="E6" s="18" t="s">
        <v>1250</v>
      </c>
      <c r="F6" s="17" t="s">
        <v>1938</v>
      </c>
      <c r="G6" s="20">
        <f>TIMEVALUE('Horarios Sucursal'!C9)</f>
        <v>0.25</v>
      </c>
      <c r="H6" s="20">
        <f>TIMEVALUE('Horarios Sucursal'!D9)</f>
        <v>0.33333333333333331</v>
      </c>
      <c r="I6" s="16"/>
      <c r="J6" s="16"/>
      <c r="K6" s="16"/>
    </row>
    <row r="7" spans="1:11" ht="26.25" x14ac:dyDescent="0.45">
      <c r="A7" s="17" t="s">
        <v>18</v>
      </c>
      <c r="B7" s="17" t="s">
        <v>1940</v>
      </c>
      <c r="C7" s="17" t="s">
        <v>1249</v>
      </c>
      <c r="D7" s="17" t="s">
        <v>1941</v>
      </c>
      <c r="E7" s="18" t="s">
        <v>1942</v>
      </c>
      <c r="F7" s="17" t="s">
        <v>1943</v>
      </c>
      <c r="G7" s="20">
        <f>TIMEVALUE('Horarios Sucursal'!E9)</f>
        <v>0.875</v>
      </c>
      <c r="H7" s="20">
        <f>TIMEVALUE('Horarios Sucursal'!F9)</f>
        <v>0.91666666666666663</v>
      </c>
      <c r="I7" s="16"/>
      <c r="J7" s="16"/>
      <c r="K7" s="16"/>
    </row>
    <row r="8" spans="1:11" x14ac:dyDescent="0.45">
      <c r="A8" s="17" t="s">
        <v>22</v>
      </c>
      <c r="B8" s="17" t="s">
        <v>1937</v>
      </c>
      <c r="C8" s="17" t="s">
        <v>1249</v>
      </c>
      <c r="D8" s="17" t="s">
        <v>1939</v>
      </c>
      <c r="E8" s="18" t="s">
        <v>1250</v>
      </c>
      <c r="F8" s="17" t="s">
        <v>1938</v>
      </c>
      <c r="G8" s="20">
        <f>TIMEVALUE('Horarios Sucursal'!C16)</f>
        <v>0.25</v>
      </c>
      <c r="H8" s="20">
        <f>TIMEVALUE('Horarios Sucursal'!D16)</f>
        <v>0.33333333333333331</v>
      </c>
      <c r="I8" s="16"/>
      <c r="J8" s="16"/>
      <c r="K8" s="16"/>
    </row>
    <row r="9" spans="1:11" ht="26.25" x14ac:dyDescent="0.45">
      <c r="A9" s="17" t="s">
        <v>22</v>
      </c>
      <c r="B9" s="17" t="s">
        <v>1940</v>
      </c>
      <c r="C9" s="17" t="s">
        <v>1249</v>
      </c>
      <c r="D9" s="17" t="s">
        <v>1941</v>
      </c>
      <c r="E9" s="18" t="s">
        <v>1942</v>
      </c>
      <c r="F9" s="17" t="s">
        <v>1943</v>
      </c>
      <c r="G9" s="20">
        <f>TIMEVALUE('Horarios Sucursal'!E16)</f>
        <v>0.89583333333333337</v>
      </c>
      <c r="H9" s="20">
        <f>TIMEVALUE('Horarios Sucursal'!F16)</f>
        <v>0.9375</v>
      </c>
      <c r="I9" s="16"/>
      <c r="J9" s="16"/>
      <c r="K9" s="16"/>
    </row>
    <row r="10" spans="1:11" x14ac:dyDescent="0.45">
      <c r="A10" s="17" t="s">
        <v>26</v>
      </c>
      <c r="B10" s="17" t="s">
        <v>1937</v>
      </c>
      <c r="C10" s="17" t="s">
        <v>1249</v>
      </c>
      <c r="D10" s="17" t="s">
        <v>1939</v>
      </c>
      <c r="E10" s="18" t="s">
        <v>1250</v>
      </c>
      <c r="F10" s="17" t="s">
        <v>1938</v>
      </c>
      <c r="G10" s="20">
        <f>TIMEVALUE('Horarios Sucursal'!C30)</f>
        <v>0.20833333333333334</v>
      </c>
      <c r="H10" s="20">
        <f>TIMEVALUE('Horarios Sucursal'!D30)</f>
        <v>0.33333333333333331</v>
      </c>
      <c r="I10" s="16"/>
      <c r="J10" s="16"/>
      <c r="K10" s="16"/>
    </row>
    <row r="11" spans="1:11" ht="26.25" x14ac:dyDescent="0.45">
      <c r="A11" s="17" t="s">
        <v>26</v>
      </c>
      <c r="B11" s="17" t="s">
        <v>1940</v>
      </c>
      <c r="C11" s="17" t="s">
        <v>1249</v>
      </c>
      <c r="D11" s="17" t="s">
        <v>1941</v>
      </c>
      <c r="E11" s="18" t="s">
        <v>1942</v>
      </c>
      <c r="F11" s="17" t="s">
        <v>1943</v>
      </c>
      <c r="G11" s="20">
        <f>TIMEVALUE('Horarios Sucursal'!E30)</f>
        <v>0.875</v>
      </c>
      <c r="H11" s="20">
        <f>TIMEVALUE('Horarios Sucursal'!F30)</f>
        <v>0.91666666666666663</v>
      </c>
      <c r="I11" s="16"/>
      <c r="J11" s="16"/>
      <c r="K11" s="16"/>
    </row>
    <row r="12" spans="1:11" x14ac:dyDescent="0.45">
      <c r="A12" s="17" t="s">
        <v>30</v>
      </c>
      <c r="B12" s="17" t="s">
        <v>1937</v>
      </c>
      <c r="C12" s="17" t="s">
        <v>1249</v>
      </c>
      <c r="D12" s="17" t="s">
        <v>1939</v>
      </c>
      <c r="E12" s="18" t="s">
        <v>1250</v>
      </c>
      <c r="F12" s="17" t="s">
        <v>1938</v>
      </c>
      <c r="G12" s="20">
        <f>TIMEVALUE('Horarios Sucursal'!C15)</f>
        <v>0.25</v>
      </c>
      <c r="H12" s="20">
        <f>TIMEVALUE('Horarios Sucursal'!D15)</f>
        <v>0.33333333333333331</v>
      </c>
      <c r="I12" s="16"/>
      <c r="J12" s="16"/>
      <c r="K12" s="16"/>
    </row>
    <row r="13" spans="1:11" ht="26.25" x14ac:dyDescent="0.45">
      <c r="A13" s="17" t="s">
        <v>30</v>
      </c>
      <c r="B13" s="17" t="s">
        <v>1940</v>
      </c>
      <c r="C13" s="17" t="s">
        <v>1249</v>
      </c>
      <c r="D13" s="17" t="s">
        <v>1941</v>
      </c>
      <c r="E13" s="18" t="s">
        <v>1942</v>
      </c>
      <c r="F13" s="17" t="s">
        <v>1943</v>
      </c>
      <c r="G13" s="20">
        <v>0.875</v>
      </c>
      <c r="H13" s="20">
        <v>0.91666666666666663</v>
      </c>
      <c r="I13" s="16"/>
      <c r="J13" s="16"/>
      <c r="K13" s="16"/>
    </row>
  </sheetData>
  <autoFilter ref="A1:K1000" xr:uid="{00000000-0009-0000-0000-000008000000}"/>
  <dataValidations count="5">
    <dataValidation type="list" allowBlank="1" showInputMessage="1" showErrorMessage="1" errorTitle="Sucursal no válida" error="Seleccione una sucursal disponible en la pestaña Sucursales." promptTitle="Sucursal" prompt="Seleccione una sucursal de la lista." sqref="A2:A1000" xr:uid="{00000000-0002-0000-0800-000000000000}">
      <formula1>ListaSucursales</formula1>
    </dataValidation>
    <dataValidation type="list" allowBlank="1" showInputMessage="1" showErrorMessage="1" errorTitle="Tipo no válido" error="Seleccione Fijo o Esporádico." promptTitle="Tipo" prompt="Seleccione Fijo o Esporádico." sqref="C2:C1000" xr:uid="{00000000-0002-0000-0800-000001000000}">
      <formula1>"Fijo,Esporádico"</formula1>
    </dataValidation>
    <dataValidation type="list" allowBlank="1" showInputMessage="1" showErrorMessage="1" errorTitle="Día no válido" error="Seleccione un día de la semana entre lunes y domingo." promptTitle="Día de la semana" prompt="Seleccione el día de la semana." sqref="F4:F1000" xr:uid="{00000000-0002-0000-0800-000002000000}">
      <formula1>"Lunes,Martes,Miércoles,Jueves,Viernes,Sábado,Domingo"</formula1>
    </dataValidation>
    <dataValidation type="time" allowBlank="1" showInputMessage="1" showErrorMessage="1" errorTitle="Hora no válida" error="Ingrese una hora válida entre 00:00 y 23:59." promptTitle="Hora" prompt="Ingrese la hora en formato HH:MM." sqref="G2:H1000" xr:uid="{00000000-0002-0000-0800-000003000000}">
      <formula1>TIME(0,0,0)</formula1>
      <formula2>TIME(23,59,59)</formula2>
    </dataValidation>
    <dataValidation type="list" allowBlank="1" showInputMessage="1" showErrorMessage="1" errorTitle="Día no válido" error="Seleccione un día de la semana entre lunes y domingo." promptTitle="Día de la semana" prompt="Seleccione el día de la semana." sqref="F2:F3" xr:uid="{7F040B77-8098-4E1C-B584-CD382CE77804}">
      <formula1>"Lunes- domingo"</formula1>
    </dataValidation>
  </dataValidations>
  <pageMargins left="0.75" right="0.75" top="1" bottom="1" header="0.5" footer="0.5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800-000001000000}">
            <xm:f>AND($J2&lt;&gt;"",COUNTIF(Empleados!$B:$B,$J2)=0)</xm:f>
            <x14:dxf>
              <fill>
                <patternFill patternType="solid">
                  <fgColor rgb="FFFFF2CC"/>
                </patternFill>
              </fill>
            </x14:dxf>
          </x14:cfRule>
          <xm:sqref>A2:K5000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2"/>
  <sheetViews>
    <sheetView showGridLines="0" zoomScale="90" workbookViewId="0">
      <pane ySplit="1" topLeftCell="A286" activePane="bottomLeft" state="frozen"/>
      <selection pane="bottomLeft" activeCell="B2" sqref="B2:B322"/>
    </sheetView>
  </sheetViews>
  <sheetFormatPr defaultColWidth="9.1328125" defaultRowHeight="14.25" x14ac:dyDescent="0.45"/>
  <cols>
    <col min="1" max="1" width="19" customWidth="1"/>
    <col min="2" max="2" width="21" customWidth="1"/>
    <col min="3" max="3" width="32" customWidth="1"/>
    <col min="4" max="4" width="12" customWidth="1"/>
    <col min="5" max="5" width="41" customWidth="1"/>
    <col min="6" max="6" width="14" customWidth="1"/>
    <col min="7" max="7" width="13" customWidth="1"/>
    <col min="8" max="8" width="28" customWidth="1"/>
    <col min="9" max="9" width="21" customWidth="1"/>
    <col min="10" max="10" width="33.86328125" customWidth="1"/>
    <col min="11" max="11" width="15" customWidth="1"/>
  </cols>
  <sheetData>
    <row r="1" spans="1:11" ht="30" customHeight="1" x14ac:dyDescent="0.45">
      <c r="A1" s="1" t="s">
        <v>484</v>
      </c>
      <c r="B1" s="1" t="s">
        <v>469</v>
      </c>
      <c r="C1" s="1" t="s">
        <v>485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2</v>
      </c>
      <c r="I1" s="1" t="s">
        <v>486</v>
      </c>
      <c r="J1" s="1" t="s">
        <v>483</v>
      </c>
      <c r="K1" s="1" t="s">
        <v>487</v>
      </c>
    </row>
    <row r="2" spans="1:11" ht="20.100000000000001" customHeight="1" x14ac:dyDescent="0.45">
      <c r="A2" s="2" t="s">
        <v>488</v>
      </c>
      <c r="B2" s="3">
        <v>775317</v>
      </c>
      <c r="C2" s="2" t="s">
        <v>489</v>
      </c>
      <c r="D2" s="2" t="s">
        <v>490</v>
      </c>
      <c r="E2" s="4" t="s">
        <v>491</v>
      </c>
      <c r="F2" s="2" t="s">
        <v>12</v>
      </c>
      <c r="G2" s="2" t="s">
        <v>12</v>
      </c>
      <c r="H2" s="4"/>
      <c r="I2" s="2" t="s">
        <v>492</v>
      </c>
      <c r="J2" s="2">
        <v>2021</v>
      </c>
      <c r="K2" s="2" t="s">
        <v>73</v>
      </c>
    </row>
    <row r="3" spans="1:11" ht="20.100000000000001" customHeight="1" x14ac:dyDescent="0.45">
      <c r="A3" s="2" t="s">
        <v>488</v>
      </c>
      <c r="B3" s="3">
        <v>912937</v>
      </c>
      <c r="C3" s="2" t="s">
        <v>493</v>
      </c>
      <c r="D3" s="2" t="s">
        <v>494</v>
      </c>
      <c r="E3" s="4" t="s">
        <v>495</v>
      </c>
      <c r="F3" s="2" t="s">
        <v>12</v>
      </c>
      <c r="G3" s="2" t="s">
        <v>12</v>
      </c>
      <c r="H3" s="4"/>
      <c r="I3" s="2" t="s">
        <v>492</v>
      </c>
      <c r="J3" s="2">
        <v>2027</v>
      </c>
      <c r="K3" s="2" t="s">
        <v>73</v>
      </c>
    </row>
    <row r="4" spans="1:11" ht="20.100000000000001" customHeight="1" x14ac:dyDescent="0.45">
      <c r="A4" s="2" t="s">
        <v>488</v>
      </c>
      <c r="B4" s="3">
        <v>1245634</v>
      </c>
      <c r="C4" s="2" t="s">
        <v>496</v>
      </c>
      <c r="D4" s="2" t="s">
        <v>497</v>
      </c>
      <c r="E4" s="4" t="s">
        <v>498</v>
      </c>
      <c r="F4" s="2" t="s">
        <v>12</v>
      </c>
      <c r="G4" s="2" t="s">
        <v>12</v>
      </c>
      <c r="H4" s="4"/>
      <c r="I4" s="2" t="s">
        <v>492</v>
      </c>
      <c r="J4" s="2">
        <v>2020</v>
      </c>
      <c r="K4" s="2" t="s">
        <v>73</v>
      </c>
    </row>
    <row r="5" spans="1:11" ht="20.100000000000001" customHeight="1" x14ac:dyDescent="0.45">
      <c r="A5" s="2" t="s">
        <v>488</v>
      </c>
      <c r="B5" s="3">
        <v>1410040</v>
      </c>
      <c r="C5" s="2" t="s">
        <v>499</v>
      </c>
      <c r="D5" s="2" t="s">
        <v>500</v>
      </c>
      <c r="E5" s="4" t="s">
        <v>501</v>
      </c>
      <c r="F5" s="2" t="s">
        <v>12</v>
      </c>
      <c r="G5" s="2" t="s">
        <v>12</v>
      </c>
      <c r="H5" s="4"/>
      <c r="I5" s="2" t="s">
        <v>492</v>
      </c>
      <c r="J5" s="2">
        <v>2020</v>
      </c>
      <c r="K5" s="2" t="s">
        <v>73</v>
      </c>
    </row>
    <row r="6" spans="1:11" ht="20.100000000000001" customHeight="1" x14ac:dyDescent="0.45">
      <c r="A6" s="2" t="s">
        <v>488</v>
      </c>
      <c r="B6" s="3">
        <v>1424124</v>
      </c>
      <c r="C6" s="2" t="s">
        <v>502</v>
      </c>
      <c r="D6" s="2" t="s">
        <v>503</v>
      </c>
      <c r="E6" s="4" t="s">
        <v>504</v>
      </c>
      <c r="F6" s="2" t="s">
        <v>12</v>
      </c>
      <c r="G6" s="2" t="s">
        <v>12</v>
      </c>
      <c r="H6" s="4"/>
      <c r="I6" s="2" t="s">
        <v>492</v>
      </c>
      <c r="J6" s="2">
        <v>2030</v>
      </c>
      <c r="K6" s="2" t="s">
        <v>73</v>
      </c>
    </row>
    <row r="7" spans="1:11" ht="20.100000000000001" customHeight="1" x14ac:dyDescent="0.45">
      <c r="A7" s="2" t="s">
        <v>488</v>
      </c>
      <c r="B7" s="3">
        <v>1479548</v>
      </c>
      <c r="C7" s="2" t="s">
        <v>505</v>
      </c>
      <c r="D7" s="2" t="s">
        <v>506</v>
      </c>
      <c r="E7" s="4" t="s">
        <v>507</v>
      </c>
      <c r="F7" s="2" t="s">
        <v>12</v>
      </c>
      <c r="G7" s="2" t="s">
        <v>12</v>
      </c>
      <c r="H7" s="4"/>
      <c r="I7" s="2" t="s">
        <v>492</v>
      </c>
      <c r="J7" s="2">
        <v>2021</v>
      </c>
      <c r="K7" s="2" t="s">
        <v>73</v>
      </c>
    </row>
    <row r="8" spans="1:11" ht="20.100000000000001" customHeight="1" x14ac:dyDescent="0.45">
      <c r="A8" s="2" t="s">
        <v>488</v>
      </c>
      <c r="B8" s="3">
        <v>1924588</v>
      </c>
      <c r="C8" s="2" t="s">
        <v>508</v>
      </c>
      <c r="D8" s="2" t="s">
        <v>509</v>
      </c>
      <c r="E8" s="4" t="s">
        <v>510</v>
      </c>
      <c r="F8" s="2" t="s">
        <v>12</v>
      </c>
      <c r="G8" s="2" t="s">
        <v>12</v>
      </c>
      <c r="H8" s="4"/>
      <c r="I8" s="2" t="s">
        <v>492</v>
      </c>
      <c r="J8" s="2">
        <v>2021</v>
      </c>
      <c r="K8" s="2" t="s">
        <v>73</v>
      </c>
    </row>
    <row r="9" spans="1:11" ht="20.100000000000001" customHeight="1" x14ac:dyDescent="0.45">
      <c r="A9" s="2" t="s">
        <v>488</v>
      </c>
      <c r="B9" s="3">
        <v>2508634</v>
      </c>
      <c r="C9" s="2" t="s">
        <v>511</v>
      </c>
      <c r="D9" s="2" t="s">
        <v>512</v>
      </c>
      <c r="E9" s="4" t="s">
        <v>513</v>
      </c>
      <c r="F9" s="2" t="s">
        <v>12</v>
      </c>
      <c r="G9" s="2" t="s">
        <v>12</v>
      </c>
      <c r="H9" s="4"/>
      <c r="I9" s="2" t="s">
        <v>492</v>
      </c>
      <c r="J9" s="2">
        <v>2020</v>
      </c>
      <c r="K9" s="2" t="s">
        <v>73</v>
      </c>
    </row>
    <row r="10" spans="1:11" ht="20.100000000000001" customHeight="1" x14ac:dyDescent="0.45">
      <c r="A10" s="2" t="s">
        <v>488</v>
      </c>
      <c r="B10" s="3">
        <v>2947292</v>
      </c>
      <c r="C10" s="2" t="s">
        <v>514</v>
      </c>
      <c r="D10" s="2" t="s">
        <v>515</v>
      </c>
      <c r="E10" s="4" t="s">
        <v>516</v>
      </c>
      <c r="F10" s="2" t="s">
        <v>12</v>
      </c>
      <c r="G10" s="2" t="s">
        <v>12</v>
      </c>
      <c r="H10" s="4"/>
      <c r="I10" s="2" t="s">
        <v>492</v>
      </c>
      <c r="J10" s="2">
        <v>2020</v>
      </c>
      <c r="K10" s="2" t="s">
        <v>73</v>
      </c>
    </row>
    <row r="11" spans="1:11" ht="20.100000000000001" customHeight="1" x14ac:dyDescent="0.45">
      <c r="A11" s="2" t="s">
        <v>488</v>
      </c>
      <c r="B11" s="3">
        <v>4134197</v>
      </c>
      <c r="C11" s="2" t="s">
        <v>517</v>
      </c>
      <c r="D11" s="2" t="s">
        <v>518</v>
      </c>
      <c r="E11" s="4" t="s">
        <v>519</v>
      </c>
      <c r="F11" s="2" t="s">
        <v>12</v>
      </c>
      <c r="G11" s="2" t="s">
        <v>12</v>
      </c>
      <c r="H11" s="4"/>
      <c r="I11" s="2" t="s">
        <v>492</v>
      </c>
      <c r="J11" s="2">
        <v>2021</v>
      </c>
      <c r="K11" s="2" t="s">
        <v>73</v>
      </c>
    </row>
    <row r="12" spans="1:11" ht="20.100000000000001" customHeight="1" x14ac:dyDescent="0.45">
      <c r="A12" s="2" t="s">
        <v>488</v>
      </c>
      <c r="B12" s="3">
        <v>4551316</v>
      </c>
      <c r="C12" s="2" t="s">
        <v>520</v>
      </c>
      <c r="D12" s="2" t="s">
        <v>521</v>
      </c>
      <c r="E12" s="4" t="s">
        <v>522</v>
      </c>
      <c r="F12" s="2" t="s">
        <v>12</v>
      </c>
      <c r="G12" s="2" t="s">
        <v>12</v>
      </c>
      <c r="H12" s="4"/>
      <c r="I12" s="2" t="s">
        <v>492</v>
      </c>
      <c r="J12" s="2">
        <v>2021</v>
      </c>
      <c r="K12" s="2" t="s">
        <v>73</v>
      </c>
    </row>
    <row r="13" spans="1:11" ht="20.100000000000001" customHeight="1" x14ac:dyDescent="0.45">
      <c r="A13" s="2" t="s">
        <v>488</v>
      </c>
      <c r="B13" s="3">
        <v>4648434</v>
      </c>
      <c r="C13" s="2" t="s">
        <v>523</v>
      </c>
      <c r="D13" s="2" t="s">
        <v>524</v>
      </c>
      <c r="E13" s="4" t="s">
        <v>525</v>
      </c>
      <c r="F13" s="2" t="s">
        <v>12</v>
      </c>
      <c r="G13" s="2" t="s">
        <v>12</v>
      </c>
      <c r="H13" s="4"/>
      <c r="I13" s="2" t="s">
        <v>492</v>
      </c>
      <c r="J13" s="2">
        <v>2020</v>
      </c>
      <c r="K13" s="2" t="s">
        <v>73</v>
      </c>
    </row>
    <row r="14" spans="1:11" ht="20.100000000000001" customHeight="1" x14ac:dyDescent="0.45">
      <c r="A14" s="2" t="s">
        <v>488</v>
      </c>
      <c r="B14" s="3">
        <v>4873181</v>
      </c>
      <c r="C14" s="2" t="s">
        <v>526</v>
      </c>
      <c r="D14" s="2" t="s">
        <v>527</v>
      </c>
      <c r="E14" s="4" t="s">
        <v>527</v>
      </c>
      <c r="F14" s="2" t="s">
        <v>12</v>
      </c>
      <c r="G14" s="2" t="s">
        <v>12</v>
      </c>
      <c r="H14" s="4"/>
      <c r="I14" s="2" t="s">
        <v>492</v>
      </c>
      <c r="J14" s="2">
        <v>2021</v>
      </c>
      <c r="K14" s="2" t="s">
        <v>73</v>
      </c>
    </row>
    <row r="15" spans="1:11" ht="20.100000000000001" customHeight="1" x14ac:dyDescent="0.45">
      <c r="A15" s="2" t="s">
        <v>488</v>
      </c>
      <c r="B15" s="3">
        <v>4890407</v>
      </c>
      <c r="C15" s="2" t="s">
        <v>528</v>
      </c>
      <c r="D15" s="2" t="s">
        <v>529</v>
      </c>
      <c r="E15" s="4" t="s">
        <v>530</v>
      </c>
      <c r="F15" s="2" t="s">
        <v>12</v>
      </c>
      <c r="G15" s="2" t="s">
        <v>12</v>
      </c>
      <c r="H15" s="4"/>
      <c r="I15" s="2" t="s">
        <v>492</v>
      </c>
      <c r="J15" s="2">
        <v>2021</v>
      </c>
      <c r="K15" s="2" t="s">
        <v>73</v>
      </c>
    </row>
    <row r="16" spans="1:11" ht="20.100000000000001" customHeight="1" x14ac:dyDescent="0.45">
      <c r="A16" s="2" t="s">
        <v>488</v>
      </c>
      <c r="B16" s="3">
        <v>4987108</v>
      </c>
      <c r="C16" s="2" t="s">
        <v>531</v>
      </c>
      <c r="D16" s="2" t="s">
        <v>532</v>
      </c>
      <c r="E16" s="4" t="s">
        <v>533</v>
      </c>
      <c r="F16" s="2" t="s">
        <v>12</v>
      </c>
      <c r="G16" s="2" t="s">
        <v>12</v>
      </c>
      <c r="H16" s="4"/>
      <c r="I16" s="2" t="s">
        <v>492</v>
      </c>
      <c r="J16" s="2">
        <v>2021</v>
      </c>
      <c r="K16" s="2" t="s">
        <v>73</v>
      </c>
    </row>
    <row r="17" spans="1:11" ht="20.100000000000001" customHeight="1" x14ac:dyDescent="0.45">
      <c r="A17" s="2" t="s">
        <v>488</v>
      </c>
      <c r="B17" s="3">
        <v>5011894</v>
      </c>
      <c r="C17" s="2" t="s">
        <v>534</v>
      </c>
      <c r="D17" s="2" t="s">
        <v>535</v>
      </c>
      <c r="E17" s="4" t="s">
        <v>536</v>
      </c>
      <c r="F17" s="2" t="s">
        <v>12</v>
      </c>
      <c r="G17" s="2" t="s">
        <v>12</v>
      </c>
      <c r="H17" s="4"/>
      <c r="I17" s="2" t="s">
        <v>492</v>
      </c>
      <c r="J17" s="2">
        <v>2021</v>
      </c>
      <c r="K17" s="2" t="s">
        <v>73</v>
      </c>
    </row>
    <row r="18" spans="1:11" ht="20.100000000000001" customHeight="1" x14ac:dyDescent="0.45">
      <c r="A18" s="2" t="s">
        <v>488</v>
      </c>
      <c r="B18" s="3">
        <v>5016126</v>
      </c>
      <c r="C18" s="2" t="s">
        <v>537</v>
      </c>
      <c r="D18" s="2" t="s">
        <v>538</v>
      </c>
      <c r="E18" s="4" t="s">
        <v>539</v>
      </c>
      <c r="F18" s="2" t="s">
        <v>12</v>
      </c>
      <c r="G18" s="2" t="s">
        <v>12</v>
      </c>
      <c r="H18" s="4"/>
      <c r="I18" s="2" t="s">
        <v>492</v>
      </c>
      <c r="J18" s="2">
        <v>2021</v>
      </c>
      <c r="K18" s="2" t="s">
        <v>73</v>
      </c>
    </row>
    <row r="19" spans="1:11" ht="20.100000000000001" customHeight="1" x14ac:dyDescent="0.45">
      <c r="A19" s="2" t="s">
        <v>488</v>
      </c>
      <c r="B19" s="3">
        <v>5034016</v>
      </c>
      <c r="C19" s="2" t="s">
        <v>540</v>
      </c>
      <c r="D19" s="2" t="s">
        <v>541</v>
      </c>
      <c r="E19" s="4" t="s">
        <v>542</v>
      </c>
      <c r="F19" s="2" t="s">
        <v>12</v>
      </c>
      <c r="G19" s="2" t="s">
        <v>12</v>
      </c>
      <c r="H19" s="4"/>
      <c r="I19" s="2" t="s">
        <v>492</v>
      </c>
      <c r="J19" s="2">
        <v>2020</v>
      </c>
      <c r="K19" s="2" t="s">
        <v>73</v>
      </c>
    </row>
    <row r="20" spans="1:11" ht="20.100000000000001" customHeight="1" x14ac:dyDescent="0.45">
      <c r="A20" s="2" t="s">
        <v>488</v>
      </c>
      <c r="B20" s="3">
        <v>5057939</v>
      </c>
      <c r="C20" s="2" t="s">
        <v>543</v>
      </c>
      <c r="D20" s="2" t="s">
        <v>544</v>
      </c>
      <c r="E20" s="4" t="s">
        <v>545</v>
      </c>
      <c r="F20" s="2" t="s">
        <v>12</v>
      </c>
      <c r="G20" s="2" t="s">
        <v>12</v>
      </c>
      <c r="H20" s="4"/>
      <c r="I20" s="2" t="s">
        <v>492</v>
      </c>
      <c r="J20" s="2">
        <v>2021</v>
      </c>
      <c r="K20" s="2" t="s">
        <v>73</v>
      </c>
    </row>
    <row r="21" spans="1:11" ht="20.100000000000001" customHeight="1" x14ac:dyDescent="0.45">
      <c r="A21" s="2" t="s">
        <v>488</v>
      </c>
      <c r="B21" s="3">
        <v>5152122</v>
      </c>
      <c r="C21" s="2" t="s">
        <v>546</v>
      </c>
      <c r="D21" s="2" t="s">
        <v>547</v>
      </c>
      <c r="E21" s="4" t="s">
        <v>548</v>
      </c>
      <c r="F21" s="2" t="s">
        <v>12</v>
      </c>
      <c r="G21" s="2" t="s">
        <v>12</v>
      </c>
      <c r="H21" s="4"/>
      <c r="I21" s="2" t="s">
        <v>492</v>
      </c>
      <c r="J21" s="2">
        <v>2021</v>
      </c>
      <c r="K21" s="2" t="s">
        <v>73</v>
      </c>
    </row>
    <row r="22" spans="1:11" ht="20.100000000000001" customHeight="1" x14ac:dyDescent="0.45">
      <c r="A22" s="2" t="s">
        <v>488</v>
      </c>
      <c r="B22" s="3">
        <v>5154768</v>
      </c>
      <c r="C22" s="2" t="s">
        <v>549</v>
      </c>
      <c r="D22" s="2" t="s">
        <v>550</v>
      </c>
      <c r="E22" s="4" t="s">
        <v>551</v>
      </c>
      <c r="F22" s="2" t="s">
        <v>12</v>
      </c>
      <c r="G22" s="2" t="s">
        <v>12</v>
      </c>
      <c r="H22" s="4"/>
      <c r="I22" s="2" t="s">
        <v>492</v>
      </c>
      <c r="J22" s="2">
        <v>2021</v>
      </c>
      <c r="K22" s="2" t="s">
        <v>73</v>
      </c>
    </row>
    <row r="23" spans="1:11" ht="20.100000000000001" customHeight="1" x14ac:dyDescent="0.45">
      <c r="A23" s="2" t="s">
        <v>488</v>
      </c>
      <c r="B23" s="3">
        <v>5281103</v>
      </c>
      <c r="C23" s="2" t="s">
        <v>553</v>
      </c>
      <c r="D23" s="2" t="s">
        <v>554</v>
      </c>
      <c r="E23" s="4" t="s">
        <v>555</v>
      </c>
      <c r="F23" s="2" t="s">
        <v>12</v>
      </c>
      <c r="G23" s="2" t="s">
        <v>12</v>
      </c>
      <c r="H23" s="4"/>
      <c r="I23" s="2" t="s">
        <v>492</v>
      </c>
      <c r="J23" s="2">
        <v>2020</v>
      </c>
      <c r="K23" s="2" t="s">
        <v>73</v>
      </c>
    </row>
    <row r="24" spans="1:11" ht="20.100000000000001" customHeight="1" x14ac:dyDescent="0.45">
      <c r="A24" s="2" t="s">
        <v>488</v>
      </c>
      <c r="B24" s="3">
        <v>5380284</v>
      </c>
      <c r="C24" s="2" t="s">
        <v>556</v>
      </c>
      <c r="D24" s="2" t="s">
        <v>557</v>
      </c>
      <c r="E24" s="4" t="s">
        <v>558</v>
      </c>
      <c r="F24" s="2" t="s">
        <v>12</v>
      </c>
      <c r="G24" s="2" t="s">
        <v>12</v>
      </c>
      <c r="H24" s="4"/>
      <c r="I24" s="2" t="s">
        <v>492</v>
      </c>
      <c r="J24" s="2">
        <v>2021</v>
      </c>
      <c r="K24" s="2" t="s">
        <v>73</v>
      </c>
    </row>
    <row r="25" spans="1:11" ht="20.100000000000001" customHeight="1" x14ac:dyDescent="0.45">
      <c r="A25" s="2" t="s">
        <v>488</v>
      </c>
      <c r="B25" s="3">
        <v>5383246</v>
      </c>
      <c r="C25" s="2" t="s">
        <v>559</v>
      </c>
      <c r="D25" s="2" t="s">
        <v>560</v>
      </c>
      <c r="E25" s="4" t="s">
        <v>561</v>
      </c>
      <c r="F25" s="2" t="s">
        <v>12</v>
      </c>
      <c r="G25" s="2" t="s">
        <v>12</v>
      </c>
      <c r="H25" s="4"/>
      <c r="I25" s="2" t="s">
        <v>492</v>
      </c>
      <c r="J25" s="2">
        <v>2020</v>
      </c>
      <c r="K25" s="2" t="s">
        <v>73</v>
      </c>
    </row>
    <row r="26" spans="1:11" ht="20.100000000000001" customHeight="1" x14ac:dyDescent="0.45">
      <c r="A26" s="2" t="s">
        <v>488</v>
      </c>
      <c r="B26" s="3">
        <v>5453915</v>
      </c>
      <c r="C26" s="2" t="s">
        <v>562</v>
      </c>
      <c r="D26" s="2" t="s">
        <v>563</v>
      </c>
      <c r="E26" s="4" t="s">
        <v>564</v>
      </c>
      <c r="F26" s="2" t="s">
        <v>12</v>
      </c>
      <c r="G26" s="2" t="s">
        <v>12</v>
      </c>
      <c r="H26" s="4"/>
      <c r="I26" s="2" t="s">
        <v>492</v>
      </c>
      <c r="J26" s="2">
        <v>2021</v>
      </c>
      <c r="K26" s="2" t="s">
        <v>73</v>
      </c>
    </row>
    <row r="27" spans="1:11" ht="20.100000000000001" customHeight="1" x14ac:dyDescent="0.45">
      <c r="A27" s="2" t="s">
        <v>488</v>
      </c>
      <c r="B27" s="3">
        <v>5502616</v>
      </c>
      <c r="C27" s="2" t="s">
        <v>565</v>
      </c>
      <c r="D27" s="2" t="s">
        <v>566</v>
      </c>
      <c r="E27" s="4" t="s">
        <v>567</v>
      </c>
      <c r="F27" s="2" t="s">
        <v>12</v>
      </c>
      <c r="G27" s="2" t="s">
        <v>12</v>
      </c>
      <c r="H27" s="4"/>
      <c r="I27" s="2" t="s">
        <v>492</v>
      </c>
      <c r="J27" s="2">
        <v>2020</v>
      </c>
      <c r="K27" s="2" t="s">
        <v>73</v>
      </c>
    </row>
    <row r="28" spans="1:11" ht="20.100000000000001" customHeight="1" x14ac:dyDescent="0.45">
      <c r="A28" s="2" t="s">
        <v>488</v>
      </c>
      <c r="B28" s="3">
        <v>5596071</v>
      </c>
      <c r="C28" s="2" t="s">
        <v>568</v>
      </c>
      <c r="D28" s="2" t="s">
        <v>569</v>
      </c>
      <c r="E28" s="4" t="s">
        <v>570</v>
      </c>
      <c r="F28" s="2" t="s">
        <v>12</v>
      </c>
      <c r="G28" s="2" t="s">
        <v>12</v>
      </c>
      <c r="H28" s="4"/>
      <c r="I28" s="2" t="s">
        <v>492</v>
      </c>
      <c r="J28" s="2">
        <v>2020</v>
      </c>
      <c r="K28" s="2" t="s">
        <v>73</v>
      </c>
    </row>
    <row r="29" spans="1:11" ht="20.100000000000001" customHeight="1" x14ac:dyDescent="0.45">
      <c r="A29" s="2" t="s">
        <v>488</v>
      </c>
      <c r="B29" s="3">
        <v>5756332</v>
      </c>
      <c r="C29" s="2" t="s">
        <v>571</v>
      </c>
      <c r="D29" s="2" t="s">
        <v>572</v>
      </c>
      <c r="E29" s="4" t="s">
        <v>573</v>
      </c>
      <c r="F29" s="2" t="s">
        <v>12</v>
      </c>
      <c r="G29" s="2" t="s">
        <v>12</v>
      </c>
      <c r="H29" s="4"/>
      <c r="I29" s="2" t="s">
        <v>492</v>
      </c>
      <c r="J29" s="2">
        <v>2021</v>
      </c>
      <c r="K29" s="2" t="s">
        <v>73</v>
      </c>
    </row>
    <row r="30" spans="1:11" ht="20.100000000000001" customHeight="1" x14ac:dyDescent="0.45">
      <c r="A30" s="2" t="s">
        <v>488</v>
      </c>
      <c r="B30" s="3">
        <v>5822112</v>
      </c>
      <c r="C30" s="2" t="s">
        <v>574</v>
      </c>
      <c r="D30" s="2" t="s">
        <v>575</v>
      </c>
      <c r="E30" s="4" t="s">
        <v>576</v>
      </c>
      <c r="F30" s="2" t="s">
        <v>12</v>
      </c>
      <c r="G30" s="2" t="s">
        <v>12</v>
      </c>
      <c r="H30" s="4"/>
      <c r="I30" s="2" t="s">
        <v>492</v>
      </c>
      <c r="J30" s="2">
        <v>2020</v>
      </c>
      <c r="K30" s="2" t="s">
        <v>73</v>
      </c>
    </row>
    <row r="31" spans="1:11" ht="20.100000000000001" customHeight="1" x14ac:dyDescent="0.45">
      <c r="A31" s="2" t="s">
        <v>488</v>
      </c>
      <c r="B31" s="3">
        <v>5844757</v>
      </c>
      <c r="C31" s="2" t="s">
        <v>577</v>
      </c>
      <c r="D31" s="2" t="s">
        <v>578</v>
      </c>
      <c r="E31" s="4" t="s">
        <v>579</v>
      </c>
      <c r="F31" s="2" t="s">
        <v>12</v>
      </c>
      <c r="G31" s="2" t="s">
        <v>12</v>
      </c>
      <c r="H31" s="4"/>
      <c r="I31" s="2" t="s">
        <v>492</v>
      </c>
      <c r="J31" s="2">
        <v>2020</v>
      </c>
      <c r="K31" s="2" t="s">
        <v>73</v>
      </c>
    </row>
    <row r="32" spans="1:11" ht="20.100000000000001" customHeight="1" x14ac:dyDescent="0.45">
      <c r="A32" s="2" t="s">
        <v>488</v>
      </c>
      <c r="B32" s="3">
        <v>5923325</v>
      </c>
      <c r="C32" s="2" t="s">
        <v>580</v>
      </c>
      <c r="D32" s="2" t="s">
        <v>581</v>
      </c>
      <c r="E32" s="4" t="s">
        <v>582</v>
      </c>
      <c r="F32" s="2" t="s">
        <v>12</v>
      </c>
      <c r="G32" s="2" t="s">
        <v>12</v>
      </c>
      <c r="H32" s="4"/>
      <c r="I32" s="2" t="s">
        <v>492</v>
      </c>
      <c r="J32" s="2">
        <v>2021</v>
      </c>
      <c r="K32" s="2" t="s">
        <v>73</v>
      </c>
    </row>
    <row r="33" spans="1:11" ht="20.100000000000001" customHeight="1" x14ac:dyDescent="0.45">
      <c r="A33" s="2" t="s">
        <v>488</v>
      </c>
      <c r="B33" s="3">
        <v>6063677</v>
      </c>
      <c r="C33" s="2" t="s">
        <v>583</v>
      </c>
      <c r="D33" s="2" t="s">
        <v>584</v>
      </c>
      <c r="E33" s="4" t="s">
        <v>585</v>
      </c>
      <c r="F33" s="2" t="s">
        <v>12</v>
      </c>
      <c r="G33" s="2" t="s">
        <v>12</v>
      </c>
      <c r="H33" s="4"/>
      <c r="I33" s="2" t="s">
        <v>492</v>
      </c>
      <c r="J33" s="2">
        <v>2021</v>
      </c>
      <c r="K33" s="2" t="s">
        <v>73</v>
      </c>
    </row>
    <row r="34" spans="1:11" ht="20.100000000000001" customHeight="1" x14ac:dyDescent="0.45">
      <c r="A34" s="2" t="s">
        <v>488</v>
      </c>
      <c r="B34" s="3">
        <v>6174737</v>
      </c>
      <c r="C34" s="2" t="s">
        <v>586</v>
      </c>
      <c r="D34" s="2" t="s">
        <v>587</v>
      </c>
      <c r="E34" s="4" t="s">
        <v>588</v>
      </c>
      <c r="F34" s="2" t="s">
        <v>12</v>
      </c>
      <c r="G34" s="2" t="s">
        <v>12</v>
      </c>
      <c r="H34" s="4"/>
      <c r="I34" s="2" t="s">
        <v>492</v>
      </c>
      <c r="J34" s="2">
        <v>2020</v>
      </c>
      <c r="K34" s="2" t="s">
        <v>73</v>
      </c>
    </row>
    <row r="35" spans="1:11" ht="20.100000000000001" customHeight="1" x14ac:dyDescent="0.45">
      <c r="A35" s="2" t="s">
        <v>488</v>
      </c>
      <c r="B35" s="3">
        <v>6404611</v>
      </c>
      <c r="C35" s="2" t="s">
        <v>589</v>
      </c>
      <c r="D35" s="2" t="s">
        <v>590</v>
      </c>
      <c r="E35" s="4" t="s">
        <v>591</v>
      </c>
      <c r="F35" s="2" t="s">
        <v>12</v>
      </c>
      <c r="G35" s="2" t="s">
        <v>12</v>
      </c>
      <c r="H35" s="4"/>
      <c r="I35" s="2" t="s">
        <v>492</v>
      </c>
      <c r="J35" s="2">
        <v>2020</v>
      </c>
      <c r="K35" s="2" t="s">
        <v>73</v>
      </c>
    </row>
    <row r="36" spans="1:11" ht="20.100000000000001" customHeight="1" x14ac:dyDescent="0.45">
      <c r="A36" s="2" t="s">
        <v>488</v>
      </c>
      <c r="B36" s="3">
        <v>6454597</v>
      </c>
      <c r="C36" s="2" t="s">
        <v>592</v>
      </c>
      <c r="D36" s="2" t="s">
        <v>593</v>
      </c>
      <c r="E36" s="4" t="s">
        <v>594</v>
      </c>
      <c r="F36" s="2" t="s">
        <v>12</v>
      </c>
      <c r="G36" s="2" t="s">
        <v>12</v>
      </c>
      <c r="H36" s="4"/>
      <c r="I36" s="2" t="s">
        <v>492</v>
      </c>
      <c r="J36" s="2">
        <v>2022</v>
      </c>
      <c r="K36" s="2" t="s">
        <v>73</v>
      </c>
    </row>
    <row r="37" spans="1:11" ht="20.100000000000001" customHeight="1" x14ac:dyDescent="0.45">
      <c r="A37" s="2" t="s">
        <v>488</v>
      </c>
      <c r="B37" s="3">
        <v>6472089</v>
      </c>
      <c r="C37" s="2" t="s">
        <v>595</v>
      </c>
      <c r="D37" s="2" t="s">
        <v>596</v>
      </c>
      <c r="E37" s="4" t="s">
        <v>597</v>
      </c>
      <c r="F37" s="2" t="s">
        <v>12</v>
      </c>
      <c r="G37" s="2" t="s">
        <v>12</v>
      </c>
      <c r="H37" s="4"/>
      <c r="I37" s="2" t="s">
        <v>492</v>
      </c>
      <c r="J37" s="2">
        <v>2021</v>
      </c>
      <c r="K37" s="2" t="s">
        <v>73</v>
      </c>
    </row>
    <row r="38" spans="1:11" ht="20.100000000000001" customHeight="1" x14ac:dyDescent="0.45">
      <c r="A38" s="2" t="s">
        <v>488</v>
      </c>
      <c r="B38" s="3">
        <v>6543622</v>
      </c>
      <c r="C38" s="2" t="s">
        <v>598</v>
      </c>
      <c r="D38" s="2" t="s">
        <v>527</v>
      </c>
      <c r="E38" s="4" t="s">
        <v>599</v>
      </c>
      <c r="F38" s="2" t="s">
        <v>12</v>
      </c>
      <c r="G38" s="2" t="s">
        <v>12</v>
      </c>
      <c r="H38" s="4"/>
      <c r="I38" s="2" t="s">
        <v>492</v>
      </c>
      <c r="J38" s="2">
        <v>2020</v>
      </c>
      <c r="K38" s="2" t="s">
        <v>73</v>
      </c>
    </row>
    <row r="39" spans="1:11" ht="20.100000000000001" customHeight="1" x14ac:dyDescent="0.45">
      <c r="A39" s="2" t="s">
        <v>488</v>
      </c>
      <c r="B39" s="3">
        <v>6593420</v>
      </c>
      <c r="C39" s="2" t="s">
        <v>600</v>
      </c>
      <c r="D39" s="2" t="s">
        <v>601</v>
      </c>
      <c r="E39" s="4" t="s">
        <v>602</v>
      </c>
      <c r="F39" s="2" t="s">
        <v>12</v>
      </c>
      <c r="G39" s="2" t="s">
        <v>12</v>
      </c>
      <c r="H39" s="4"/>
      <c r="I39" s="2" t="s">
        <v>492</v>
      </c>
      <c r="J39" s="2">
        <v>2020</v>
      </c>
      <c r="K39" s="2" t="s">
        <v>73</v>
      </c>
    </row>
    <row r="40" spans="1:11" ht="20.100000000000001" customHeight="1" x14ac:dyDescent="0.45">
      <c r="A40" s="2" t="s">
        <v>488</v>
      </c>
      <c r="B40" s="3">
        <v>6661910</v>
      </c>
      <c r="C40" s="2" t="s">
        <v>603</v>
      </c>
      <c r="D40" s="2" t="s">
        <v>604</v>
      </c>
      <c r="E40" s="4" t="s">
        <v>605</v>
      </c>
      <c r="F40" s="2" t="s">
        <v>12</v>
      </c>
      <c r="G40" s="2" t="s">
        <v>12</v>
      </c>
      <c r="H40" s="4"/>
      <c r="I40" s="2" t="s">
        <v>492</v>
      </c>
      <c r="J40" s="2">
        <v>2021</v>
      </c>
      <c r="K40" s="2" t="s">
        <v>73</v>
      </c>
    </row>
    <row r="41" spans="1:11" ht="20.100000000000001" customHeight="1" x14ac:dyDescent="0.45">
      <c r="A41" s="2" t="s">
        <v>488</v>
      </c>
      <c r="B41" s="3">
        <v>6969992</v>
      </c>
      <c r="C41" s="2" t="s">
        <v>606</v>
      </c>
      <c r="D41" s="2" t="s">
        <v>607</v>
      </c>
      <c r="E41" s="4" t="s">
        <v>608</v>
      </c>
      <c r="F41" s="2" t="s">
        <v>12</v>
      </c>
      <c r="G41" s="2" t="s">
        <v>12</v>
      </c>
      <c r="H41" s="4"/>
      <c r="I41" s="2" t="s">
        <v>492</v>
      </c>
      <c r="J41" s="2">
        <v>2023</v>
      </c>
      <c r="K41" s="2" t="s">
        <v>73</v>
      </c>
    </row>
    <row r="42" spans="1:11" ht="20.100000000000001" customHeight="1" x14ac:dyDescent="0.45">
      <c r="A42" s="2" t="s">
        <v>488</v>
      </c>
      <c r="B42" s="3">
        <v>7040622</v>
      </c>
      <c r="C42" s="2" t="s">
        <v>609</v>
      </c>
      <c r="D42" s="2" t="s">
        <v>610</v>
      </c>
      <c r="E42" s="4" t="s">
        <v>611</v>
      </c>
      <c r="F42" s="2" t="s">
        <v>12</v>
      </c>
      <c r="G42" s="2" t="s">
        <v>12</v>
      </c>
      <c r="H42" s="4"/>
      <c r="I42" s="2" t="s">
        <v>492</v>
      </c>
      <c r="J42" s="2">
        <v>2021</v>
      </c>
      <c r="K42" s="2" t="s">
        <v>73</v>
      </c>
    </row>
    <row r="43" spans="1:11" ht="20.100000000000001" customHeight="1" x14ac:dyDescent="0.45">
      <c r="A43" s="2" t="s">
        <v>488</v>
      </c>
      <c r="B43" s="3">
        <v>7552517</v>
      </c>
      <c r="C43" s="2" t="s">
        <v>612</v>
      </c>
      <c r="D43" s="2" t="s">
        <v>613</v>
      </c>
      <c r="E43" s="4" t="s">
        <v>614</v>
      </c>
      <c r="F43" s="2" t="s">
        <v>12</v>
      </c>
      <c r="G43" s="2" t="s">
        <v>12</v>
      </c>
      <c r="H43" s="4"/>
      <c r="I43" s="2" t="s">
        <v>492</v>
      </c>
      <c r="J43" s="2">
        <v>2021</v>
      </c>
      <c r="K43" s="2" t="s">
        <v>73</v>
      </c>
    </row>
    <row r="44" spans="1:11" ht="20.100000000000001" customHeight="1" x14ac:dyDescent="0.45">
      <c r="A44" s="2" t="s">
        <v>488</v>
      </c>
      <c r="B44" s="3">
        <v>8796744</v>
      </c>
      <c r="C44" s="2" t="s">
        <v>615</v>
      </c>
      <c r="D44" s="2" t="s">
        <v>616</v>
      </c>
      <c r="E44" s="4" t="s">
        <v>617</v>
      </c>
      <c r="F44" s="2" t="s">
        <v>12</v>
      </c>
      <c r="G44" s="2" t="s">
        <v>12</v>
      </c>
      <c r="H44" s="4"/>
      <c r="I44" s="2" t="s">
        <v>492</v>
      </c>
      <c r="J44" s="2">
        <v>2021</v>
      </c>
      <c r="K44" s="2" t="s">
        <v>73</v>
      </c>
    </row>
    <row r="45" spans="1:11" ht="20.100000000000001" customHeight="1" x14ac:dyDescent="0.45">
      <c r="A45" s="2" t="s">
        <v>488</v>
      </c>
      <c r="B45" s="3">
        <v>8853120</v>
      </c>
      <c r="C45" s="2" t="s">
        <v>618</v>
      </c>
      <c r="D45" s="2" t="s">
        <v>619</v>
      </c>
      <c r="E45" s="4" t="s">
        <v>620</v>
      </c>
      <c r="F45" s="2" t="s">
        <v>12</v>
      </c>
      <c r="G45" s="2" t="s">
        <v>12</v>
      </c>
      <c r="H45" s="4"/>
      <c r="I45" s="2" t="s">
        <v>492</v>
      </c>
      <c r="J45" s="2">
        <v>2020</v>
      </c>
      <c r="K45" s="2" t="s">
        <v>73</v>
      </c>
    </row>
    <row r="46" spans="1:11" ht="20.100000000000001" customHeight="1" x14ac:dyDescent="0.45">
      <c r="A46" s="2" t="s">
        <v>488</v>
      </c>
      <c r="B46" s="3">
        <v>8865244</v>
      </c>
      <c r="C46" s="2" t="s">
        <v>621</v>
      </c>
      <c r="D46" s="2" t="s">
        <v>622</v>
      </c>
      <c r="E46" s="4" t="s">
        <v>623</v>
      </c>
      <c r="F46" s="2" t="s">
        <v>12</v>
      </c>
      <c r="G46" s="2" t="s">
        <v>12</v>
      </c>
      <c r="H46" s="4"/>
      <c r="I46" s="2" t="s">
        <v>492</v>
      </c>
      <c r="J46" s="2">
        <v>2020</v>
      </c>
      <c r="K46" s="2" t="s">
        <v>73</v>
      </c>
    </row>
    <row r="47" spans="1:11" ht="20.100000000000001" customHeight="1" x14ac:dyDescent="0.45">
      <c r="A47" s="2" t="s">
        <v>488</v>
      </c>
      <c r="B47" s="3">
        <v>11185771</v>
      </c>
      <c r="C47" s="2" t="s">
        <v>624</v>
      </c>
      <c r="D47" s="2" t="s">
        <v>625</v>
      </c>
      <c r="E47" s="4" t="s">
        <v>626</v>
      </c>
      <c r="F47" s="2" t="s">
        <v>12</v>
      </c>
      <c r="G47" s="2" t="s">
        <v>12</v>
      </c>
      <c r="H47" s="4"/>
      <c r="I47" s="2" t="s">
        <v>492</v>
      </c>
      <c r="J47" s="2">
        <v>2020</v>
      </c>
      <c r="K47" s="2" t="s">
        <v>73</v>
      </c>
    </row>
    <row r="48" spans="1:11" ht="20.100000000000001" customHeight="1" x14ac:dyDescent="0.45">
      <c r="A48" s="2" t="s">
        <v>488</v>
      </c>
      <c r="B48" s="3">
        <v>18465349</v>
      </c>
      <c r="C48" s="2" t="s">
        <v>627</v>
      </c>
      <c r="D48" s="2" t="s">
        <v>628</v>
      </c>
      <c r="E48" s="4" t="s">
        <v>629</v>
      </c>
      <c r="F48" s="2" t="s">
        <v>12</v>
      </c>
      <c r="G48" s="2" t="s">
        <v>12</v>
      </c>
      <c r="H48" s="4"/>
      <c r="I48" s="2" t="s">
        <v>492</v>
      </c>
      <c r="J48" s="2">
        <v>2021</v>
      </c>
      <c r="K48" s="2" t="s">
        <v>73</v>
      </c>
    </row>
    <row r="49" spans="1:11" ht="20.100000000000001" customHeight="1" x14ac:dyDescent="0.45">
      <c r="A49" s="2" t="s">
        <v>488</v>
      </c>
      <c r="B49" s="3">
        <v>20730598</v>
      </c>
      <c r="C49" s="2" t="s">
        <v>630</v>
      </c>
      <c r="D49" s="2" t="s">
        <v>631</v>
      </c>
      <c r="E49" s="4" t="s">
        <v>632</v>
      </c>
      <c r="F49" s="2" t="s">
        <v>12</v>
      </c>
      <c r="G49" s="2" t="s">
        <v>12</v>
      </c>
      <c r="H49" s="4"/>
      <c r="I49" s="2" t="s">
        <v>492</v>
      </c>
      <c r="J49" s="2">
        <v>2021</v>
      </c>
      <c r="K49" s="2" t="s">
        <v>73</v>
      </c>
    </row>
    <row r="50" spans="1:11" ht="20.100000000000001" customHeight="1" x14ac:dyDescent="0.45">
      <c r="A50" s="2" t="s">
        <v>488</v>
      </c>
      <c r="B50" s="3">
        <v>24070775</v>
      </c>
      <c r="C50" s="2" t="s">
        <v>633</v>
      </c>
      <c r="D50" s="2" t="s">
        <v>634</v>
      </c>
      <c r="E50" s="4" t="s">
        <v>635</v>
      </c>
      <c r="F50" s="2" t="s">
        <v>12</v>
      </c>
      <c r="G50" s="2" t="s">
        <v>12</v>
      </c>
      <c r="H50" s="4"/>
      <c r="I50" s="2" t="s">
        <v>492</v>
      </c>
      <c r="J50" s="2">
        <v>2022</v>
      </c>
      <c r="K50" s="2" t="s">
        <v>73</v>
      </c>
    </row>
    <row r="51" spans="1:11" ht="20.100000000000001" customHeight="1" x14ac:dyDescent="0.45">
      <c r="A51" s="2" t="s">
        <v>488</v>
      </c>
      <c r="B51" s="3">
        <v>36451606</v>
      </c>
      <c r="C51" s="2" t="s">
        <v>636</v>
      </c>
      <c r="D51" s="2" t="s">
        <v>637</v>
      </c>
      <c r="E51" s="4" t="s">
        <v>638</v>
      </c>
      <c r="F51" s="2" t="s">
        <v>12</v>
      </c>
      <c r="G51" s="2" t="s">
        <v>12</v>
      </c>
      <c r="H51" s="4"/>
      <c r="I51" s="2" t="s">
        <v>492</v>
      </c>
      <c r="J51" s="2">
        <v>2020</v>
      </c>
      <c r="K51" s="2" t="s">
        <v>73</v>
      </c>
    </row>
    <row r="52" spans="1:11" ht="20.100000000000001" customHeight="1" x14ac:dyDescent="0.45">
      <c r="A52" s="2" t="s">
        <v>488</v>
      </c>
      <c r="B52" s="3">
        <v>36452081</v>
      </c>
      <c r="C52" s="2" t="s">
        <v>639</v>
      </c>
      <c r="D52" s="2" t="s">
        <v>640</v>
      </c>
      <c r="E52" s="4" t="s">
        <v>641</v>
      </c>
      <c r="F52" s="2" t="s">
        <v>12</v>
      </c>
      <c r="G52" s="2" t="s">
        <v>12</v>
      </c>
      <c r="H52" s="4"/>
      <c r="I52" s="2" t="s">
        <v>492</v>
      </c>
      <c r="J52" s="2">
        <v>2021</v>
      </c>
      <c r="K52" s="2" t="s">
        <v>73</v>
      </c>
    </row>
    <row r="53" spans="1:11" ht="20.100000000000001" customHeight="1" x14ac:dyDescent="0.45">
      <c r="A53" s="2" t="s">
        <v>488</v>
      </c>
      <c r="B53" s="3">
        <v>43190815</v>
      </c>
      <c r="C53" s="2" t="s">
        <v>642</v>
      </c>
      <c r="D53" s="2" t="s">
        <v>643</v>
      </c>
      <c r="E53" s="4" t="s">
        <v>644</v>
      </c>
      <c r="F53" s="2" t="s">
        <v>12</v>
      </c>
      <c r="G53" s="2" t="s">
        <v>12</v>
      </c>
      <c r="H53" s="4"/>
      <c r="I53" s="2" t="s">
        <v>492</v>
      </c>
      <c r="J53" s="2">
        <v>3436</v>
      </c>
      <c r="K53" s="2" t="s">
        <v>73</v>
      </c>
    </row>
    <row r="54" spans="1:11" ht="20.100000000000001" customHeight="1" x14ac:dyDescent="0.45">
      <c r="A54" s="2" t="s">
        <v>488</v>
      </c>
      <c r="B54" s="3">
        <v>52151656</v>
      </c>
      <c r="C54" s="2" t="s">
        <v>645</v>
      </c>
      <c r="D54" s="2" t="s">
        <v>646</v>
      </c>
      <c r="E54" s="4" t="s">
        <v>647</v>
      </c>
      <c r="F54" s="2" t="s">
        <v>12</v>
      </c>
      <c r="G54" s="2" t="s">
        <v>12</v>
      </c>
      <c r="H54" s="4"/>
      <c r="I54" s="2" t="s">
        <v>492</v>
      </c>
      <c r="J54" s="2">
        <v>2020</v>
      </c>
      <c r="K54" s="2" t="s">
        <v>73</v>
      </c>
    </row>
    <row r="55" spans="1:11" ht="20.100000000000001" customHeight="1" x14ac:dyDescent="0.45">
      <c r="A55" s="2" t="s">
        <v>488</v>
      </c>
      <c r="B55" s="3">
        <v>52278889</v>
      </c>
      <c r="C55" s="2" t="s">
        <v>648</v>
      </c>
      <c r="D55" s="2" t="s">
        <v>649</v>
      </c>
      <c r="E55" s="4" t="s">
        <v>650</v>
      </c>
      <c r="F55" s="2" t="s">
        <v>12</v>
      </c>
      <c r="G55" s="2" t="s">
        <v>12</v>
      </c>
      <c r="H55" s="4"/>
      <c r="I55" s="2" t="s">
        <v>492</v>
      </c>
      <c r="J55" s="2">
        <v>2020</v>
      </c>
      <c r="K55" s="2" t="s">
        <v>73</v>
      </c>
    </row>
    <row r="56" spans="1:11" ht="20.100000000000001" customHeight="1" x14ac:dyDescent="0.45">
      <c r="A56" s="2" t="s">
        <v>488</v>
      </c>
      <c r="B56" s="3">
        <v>52357758</v>
      </c>
      <c r="C56" s="2" t="s">
        <v>651</v>
      </c>
      <c r="D56" s="2" t="s">
        <v>652</v>
      </c>
      <c r="E56" s="4" t="s">
        <v>653</v>
      </c>
      <c r="F56" s="2" t="s">
        <v>12</v>
      </c>
      <c r="G56" s="2" t="s">
        <v>12</v>
      </c>
      <c r="H56" s="4"/>
      <c r="I56" s="2" t="s">
        <v>492</v>
      </c>
      <c r="J56" s="2">
        <v>2020</v>
      </c>
      <c r="K56" s="2" t="s">
        <v>73</v>
      </c>
    </row>
    <row r="57" spans="1:11" ht="20.100000000000001" customHeight="1" x14ac:dyDescent="0.45">
      <c r="A57" s="2" t="s">
        <v>488</v>
      </c>
      <c r="B57" s="3">
        <v>52391289</v>
      </c>
      <c r="C57" s="2" t="s">
        <v>654</v>
      </c>
      <c r="D57" s="2" t="s">
        <v>655</v>
      </c>
      <c r="E57" s="4" t="s">
        <v>656</v>
      </c>
      <c r="F57" s="2" t="s">
        <v>12</v>
      </c>
      <c r="G57" s="2" t="s">
        <v>12</v>
      </c>
      <c r="H57" s="4"/>
      <c r="I57" s="2" t="s">
        <v>492</v>
      </c>
      <c r="J57" s="2">
        <v>2020</v>
      </c>
      <c r="K57" s="2" t="s">
        <v>73</v>
      </c>
    </row>
    <row r="58" spans="1:11" ht="20.100000000000001" customHeight="1" x14ac:dyDescent="0.45">
      <c r="A58" s="2" t="s">
        <v>488</v>
      </c>
      <c r="B58" s="3">
        <v>52450297</v>
      </c>
      <c r="C58" s="2" t="s">
        <v>657</v>
      </c>
      <c r="D58" s="2" t="s">
        <v>658</v>
      </c>
      <c r="E58" s="4" t="s">
        <v>659</v>
      </c>
      <c r="F58" s="2" t="s">
        <v>12</v>
      </c>
      <c r="G58" s="2" t="s">
        <v>12</v>
      </c>
      <c r="H58" s="4"/>
      <c r="I58" s="2" t="s">
        <v>492</v>
      </c>
      <c r="J58" s="2">
        <v>2020</v>
      </c>
      <c r="K58" s="2" t="s">
        <v>73</v>
      </c>
    </row>
    <row r="59" spans="1:11" ht="20.100000000000001" customHeight="1" x14ac:dyDescent="0.45">
      <c r="A59" s="2" t="s">
        <v>488</v>
      </c>
      <c r="B59" s="3">
        <v>52498110</v>
      </c>
      <c r="C59" s="2" t="s">
        <v>660</v>
      </c>
      <c r="D59" s="2" t="s">
        <v>661</v>
      </c>
      <c r="E59" s="4" t="s">
        <v>662</v>
      </c>
      <c r="F59" s="2" t="s">
        <v>12</v>
      </c>
      <c r="G59" s="2" t="s">
        <v>12</v>
      </c>
      <c r="H59" s="4"/>
      <c r="I59" s="2" t="s">
        <v>492</v>
      </c>
      <c r="J59" s="2">
        <v>2026</v>
      </c>
      <c r="K59" s="2" t="s">
        <v>73</v>
      </c>
    </row>
    <row r="60" spans="1:11" ht="20.100000000000001" customHeight="1" x14ac:dyDescent="0.45">
      <c r="A60" s="2" t="s">
        <v>488</v>
      </c>
      <c r="B60" s="3">
        <v>52709007</v>
      </c>
      <c r="C60" s="2" t="s">
        <v>663</v>
      </c>
      <c r="D60" s="2" t="s">
        <v>664</v>
      </c>
      <c r="E60" s="4" t="s">
        <v>665</v>
      </c>
      <c r="F60" s="2" t="s">
        <v>12</v>
      </c>
      <c r="G60" s="2" t="s">
        <v>12</v>
      </c>
      <c r="H60" s="4"/>
      <c r="I60" s="2" t="s">
        <v>492</v>
      </c>
      <c r="J60" s="2">
        <v>2021</v>
      </c>
      <c r="K60" s="2" t="s">
        <v>73</v>
      </c>
    </row>
    <row r="61" spans="1:11" ht="20.100000000000001" customHeight="1" x14ac:dyDescent="0.45">
      <c r="A61" s="2" t="s">
        <v>488</v>
      </c>
      <c r="B61" s="3">
        <v>52778145</v>
      </c>
      <c r="C61" s="2" t="s">
        <v>666</v>
      </c>
      <c r="D61" s="2" t="s">
        <v>667</v>
      </c>
      <c r="E61" s="4" t="s">
        <v>668</v>
      </c>
      <c r="F61" s="2" t="s">
        <v>12</v>
      </c>
      <c r="G61" s="2" t="s">
        <v>12</v>
      </c>
      <c r="H61" s="4"/>
      <c r="I61" s="2" t="s">
        <v>492</v>
      </c>
      <c r="J61" s="2">
        <v>2021</v>
      </c>
      <c r="K61" s="2" t="s">
        <v>73</v>
      </c>
    </row>
    <row r="62" spans="1:11" ht="20.100000000000001" customHeight="1" x14ac:dyDescent="0.45">
      <c r="A62" s="2" t="s">
        <v>488</v>
      </c>
      <c r="B62" s="3">
        <v>52873856</v>
      </c>
      <c r="C62" s="2" t="s">
        <v>669</v>
      </c>
      <c r="D62" s="2" t="s">
        <v>670</v>
      </c>
      <c r="E62" s="4" t="s">
        <v>671</v>
      </c>
      <c r="F62" s="2" t="s">
        <v>12</v>
      </c>
      <c r="G62" s="2" t="s">
        <v>12</v>
      </c>
      <c r="H62" s="4"/>
      <c r="I62" s="2" t="s">
        <v>492</v>
      </c>
      <c r="J62" s="2">
        <v>2020</v>
      </c>
      <c r="K62" s="2" t="s">
        <v>73</v>
      </c>
    </row>
    <row r="63" spans="1:11" ht="20.100000000000001" customHeight="1" x14ac:dyDescent="0.45">
      <c r="A63" s="2" t="s">
        <v>488</v>
      </c>
      <c r="B63" s="3">
        <v>52986325</v>
      </c>
      <c r="C63" s="2" t="s">
        <v>672</v>
      </c>
      <c r="D63" s="2" t="s">
        <v>673</v>
      </c>
      <c r="E63" s="4" t="s">
        <v>674</v>
      </c>
      <c r="F63" s="2" t="s">
        <v>12</v>
      </c>
      <c r="G63" s="2" t="s">
        <v>12</v>
      </c>
      <c r="H63" s="4"/>
      <c r="I63" s="2" t="s">
        <v>492</v>
      </c>
      <c r="J63" s="2">
        <v>2021</v>
      </c>
      <c r="K63" s="2" t="s">
        <v>73</v>
      </c>
    </row>
    <row r="64" spans="1:11" ht="20.100000000000001" customHeight="1" x14ac:dyDescent="0.45">
      <c r="A64" s="2" t="s">
        <v>488</v>
      </c>
      <c r="B64" s="3">
        <v>53007874</v>
      </c>
      <c r="C64" s="2" t="s">
        <v>675</v>
      </c>
      <c r="D64" s="2" t="s">
        <v>676</v>
      </c>
      <c r="E64" s="4" t="s">
        <v>677</v>
      </c>
      <c r="F64" s="2" t="s">
        <v>12</v>
      </c>
      <c r="G64" s="2" t="s">
        <v>12</v>
      </c>
      <c r="H64" s="4"/>
      <c r="I64" s="2" t="s">
        <v>492</v>
      </c>
      <c r="J64" s="2">
        <v>2021</v>
      </c>
      <c r="K64" s="2" t="s">
        <v>73</v>
      </c>
    </row>
    <row r="65" spans="1:11" ht="20.100000000000001" customHeight="1" x14ac:dyDescent="0.45">
      <c r="A65" s="2" t="s">
        <v>488</v>
      </c>
      <c r="B65" s="3">
        <v>53098607</v>
      </c>
      <c r="C65" s="2" t="s">
        <v>678</v>
      </c>
      <c r="D65" s="2" t="s">
        <v>679</v>
      </c>
      <c r="E65" s="4" t="s">
        <v>680</v>
      </c>
      <c r="F65" s="2" t="s">
        <v>12</v>
      </c>
      <c r="G65" s="2" t="s">
        <v>12</v>
      </c>
      <c r="H65" s="4"/>
      <c r="I65" s="2" t="s">
        <v>492</v>
      </c>
      <c r="J65" s="2">
        <v>2021</v>
      </c>
      <c r="K65" s="2" t="s">
        <v>73</v>
      </c>
    </row>
    <row r="66" spans="1:11" ht="20.100000000000001" customHeight="1" x14ac:dyDescent="0.45">
      <c r="A66" s="2" t="s">
        <v>488</v>
      </c>
      <c r="B66" s="3">
        <v>53118295</v>
      </c>
      <c r="C66" s="2" t="s">
        <v>681</v>
      </c>
      <c r="D66" s="2" t="s">
        <v>682</v>
      </c>
      <c r="E66" s="4" t="s">
        <v>683</v>
      </c>
      <c r="F66" s="2" t="s">
        <v>12</v>
      </c>
      <c r="G66" s="2" t="s">
        <v>12</v>
      </c>
      <c r="H66" s="4"/>
      <c r="I66" s="2" t="s">
        <v>492</v>
      </c>
      <c r="J66" s="2">
        <v>2020</v>
      </c>
      <c r="K66" s="2" t="s">
        <v>73</v>
      </c>
    </row>
    <row r="67" spans="1:11" ht="20.100000000000001" customHeight="1" x14ac:dyDescent="0.45">
      <c r="A67" s="2" t="s">
        <v>488</v>
      </c>
      <c r="B67" s="3">
        <v>55237990</v>
      </c>
      <c r="C67" s="2" t="s">
        <v>684</v>
      </c>
      <c r="D67" s="2" t="s">
        <v>685</v>
      </c>
      <c r="E67" s="4" t="s">
        <v>686</v>
      </c>
      <c r="F67" s="2" t="s">
        <v>12</v>
      </c>
      <c r="G67" s="2" t="s">
        <v>12</v>
      </c>
      <c r="H67" s="4"/>
      <c r="I67" s="2" t="s">
        <v>492</v>
      </c>
      <c r="J67" s="2">
        <v>2020</v>
      </c>
      <c r="K67" s="2" t="s">
        <v>73</v>
      </c>
    </row>
    <row r="68" spans="1:11" ht="20.100000000000001" customHeight="1" x14ac:dyDescent="0.45">
      <c r="A68" s="2" t="s">
        <v>488</v>
      </c>
      <c r="B68" s="3">
        <v>57106601</v>
      </c>
      <c r="C68" s="2" t="s">
        <v>687</v>
      </c>
      <c r="D68" s="2" t="s">
        <v>688</v>
      </c>
      <c r="E68" s="4" t="s">
        <v>689</v>
      </c>
      <c r="F68" s="2" t="s">
        <v>12</v>
      </c>
      <c r="G68" s="2" t="s">
        <v>12</v>
      </c>
      <c r="H68" s="4"/>
      <c r="I68" s="2" t="s">
        <v>492</v>
      </c>
      <c r="J68" s="2">
        <v>2020</v>
      </c>
      <c r="K68" s="2" t="s">
        <v>73</v>
      </c>
    </row>
    <row r="69" spans="1:11" ht="20.100000000000001" customHeight="1" x14ac:dyDescent="0.45">
      <c r="A69" s="2" t="s">
        <v>488</v>
      </c>
      <c r="B69" s="3">
        <v>71257569</v>
      </c>
      <c r="C69" s="2" t="s">
        <v>690</v>
      </c>
      <c r="D69" s="2" t="s">
        <v>527</v>
      </c>
      <c r="E69" s="4" t="s">
        <v>691</v>
      </c>
      <c r="F69" s="2" t="s">
        <v>12</v>
      </c>
      <c r="G69" s="2" t="s">
        <v>12</v>
      </c>
      <c r="H69" s="4"/>
      <c r="I69" s="2" t="s">
        <v>492</v>
      </c>
      <c r="J69" s="2">
        <v>2021</v>
      </c>
      <c r="K69" s="2" t="s">
        <v>73</v>
      </c>
    </row>
    <row r="70" spans="1:11" ht="20.100000000000001" customHeight="1" x14ac:dyDescent="0.45">
      <c r="A70" s="2" t="s">
        <v>488</v>
      </c>
      <c r="B70" s="3">
        <v>71368684</v>
      </c>
      <c r="C70" s="2" t="s">
        <v>692</v>
      </c>
      <c r="D70" s="2" t="s">
        <v>693</v>
      </c>
      <c r="E70" s="4" t="s">
        <v>694</v>
      </c>
      <c r="F70" s="2" t="s">
        <v>12</v>
      </c>
      <c r="G70" s="2" t="s">
        <v>12</v>
      </c>
      <c r="H70" s="4"/>
      <c r="I70" s="2" t="s">
        <v>492</v>
      </c>
      <c r="J70" s="2">
        <v>3436</v>
      </c>
      <c r="K70" s="2" t="s">
        <v>73</v>
      </c>
    </row>
    <row r="71" spans="1:11" ht="20.100000000000001" customHeight="1" x14ac:dyDescent="0.45">
      <c r="A71" s="2" t="s">
        <v>488</v>
      </c>
      <c r="B71" s="3">
        <v>72267674</v>
      </c>
      <c r="C71" s="2" t="s">
        <v>695</v>
      </c>
      <c r="D71" s="2" t="s">
        <v>696</v>
      </c>
      <c r="E71" s="4" t="s">
        <v>697</v>
      </c>
      <c r="F71" s="2" t="s">
        <v>12</v>
      </c>
      <c r="G71" s="2" t="s">
        <v>12</v>
      </c>
      <c r="H71" s="4"/>
      <c r="I71" s="2" t="s">
        <v>492</v>
      </c>
      <c r="J71" s="2">
        <v>2021</v>
      </c>
      <c r="K71" s="2" t="s">
        <v>73</v>
      </c>
    </row>
    <row r="72" spans="1:11" ht="20.100000000000001" customHeight="1" x14ac:dyDescent="0.45">
      <c r="A72" s="2" t="s">
        <v>488</v>
      </c>
      <c r="B72" s="3">
        <v>73435606</v>
      </c>
      <c r="C72" s="2" t="s">
        <v>698</v>
      </c>
      <c r="D72" s="2" t="s">
        <v>699</v>
      </c>
      <c r="E72" s="4" t="s">
        <v>700</v>
      </c>
      <c r="F72" s="2" t="s">
        <v>12</v>
      </c>
      <c r="G72" s="2" t="s">
        <v>12</v>
      </c>
      <c r="H72" s="4"/>
      <c r="I72" s="2" t="s">
        <v>492</v>
      </c>
      <c r="J72" s="2">
        <v>2020</v>
      </c>
      <c r="K72" s="2" t="s">
        <v>73</v>
      </c>
    </row>
    <row r="73" spans="1:11" ht="20.100000000000001" customHeight="1" x14ac:dyDescent="0.45">
      <c r="A73" s="2" t="s">
        <v>488</v>
      </c>
      <c r="B73" s="3">
        <v>79214107</v>
      </c>
      <c r="C73" s="2" t="s">
        <v>701</v>
      </c>
      <c r="D73" s="2" t="s">
        <v>702</v>
      </c>
      <c r="E73" s="4" t="s">
        <v>703</v>
      </c>
      <c r="F73" s="2" t="s">
        <v>12</v>
      </c>
      <c r="G73" s="2" t="s">
        <v>12</v>
      </c>
      <c r="H73" s="4"/>
      <c r="I73" s="2" t="s">
        <v>492</v>
      </c>
      <c r="J73" s="2">
        <v>2020</v>
      </c>
      <c r="K73" s="2" t="s">
        <v>73</v>
      </c>
    </row>
    <row r="74" spans="1:11" ht="20.100000000000001" customHeight="1" x14ac:dyDescent="0.45">
      <c r="A74" s="2" t="s">
        <v>488</v>
      </c>
      <c r="B74" s="3">
        <v>79494817</v>
      </c>
      <c r="C74" s="2" t="s">
        <v>704</v>
      </c>
      <c r="D74" s="2" t="s">
        <v>705</v>
      </c>
      <c r="E74" s="4" t="s">
        <v>706</v>
      </c>
      <c r="F74" s="2" t="s">
        <v>12</v>
      </c>
      <c r="G74" s="2" t="s">
        <v>12</v>
      </c>
      <c r="H74" s="4"/>
      <c r="I74" s="2" t="s">
        <v>492</v>
      </c>
      <c r="J74" s="2">
        <v>2021</v>
      </c>
      <c r="K74" s="2" t="s">
        <v>73</v>
      </c>
    </row>
    <row r="75" spans="1:11" ht="20.100000000000001" customHeight="1" x14ac:dyDescent="0.45">
      <c r="A75" s="2" t="s">
        <v>488</v>
      </c>
      <c r="B75" s="3">
        <v>79523179</v>
      </c>
      <c r="C75" s="2" t="s">
        <v>707</v>
      </c>
      <c r="D75" s="2" t="s">
        <v>708</v>
      </c>
      <c r="E75" s="4" t="s">
        <v>709</v>
      </c>
      <c r="F75" s="2" t="s">
        <v>12</v>
      </c>
      <c r="G75" s="2" t="s">
        <v>12</v>
      </c>
      <c r="H75" s="4"/>
      <c r="I75" s="2" t="s">
        <v>492</v>
      </c>
      <c r="J75" s="2">
        <v>2021</v>
      </c>
      <c r="K75" s="2" t="s">
        <v>73</v>
      </c>
    </row>
    <row r="76" spans="1:11" ht="20.100000000000001" customHeight="1" x14ac:dyDescent="0.45">
      <c r="A76" s="2" t="s">
        <v>488</v>
      </c>
      <c r="B76" s="3">
        <v>79524929</v>
      </c>
      <c r="C76" s="2" t="s">
        <v>710</v>
      </c>
      <c r="D76" s="2" t="s">
        <v>711</v>
      </c>
      <c r="E76" s="4" t="s">
        <v>712</v>
      </c>
      <c r="F76" s="2" t="s">
        <v>12</v>
      </c>
      <c r="G76" s="2" t="s">
        <v>12</v>
      </c>
      <c r="H76" s="4"/>
      <c r="I76" s="2" t="s">
        <v>492</v>
      </c>
      <c r="J76" s="2">
        <v>2021</v>
      </c>
      <c r="K76" s="2" t="s">
        <v>73</v>
      </c>
    </row>
    <row r="77" spans="1:11" ht="20.100000000000001" customHeight="1" x14ac:dyDescent="0.45">
      <c r="A77" s="2" t="s">
        <v>488</v>
      </c>
      <c r="B77" s="3">
        <v>79528359</v>
      </c>
      <c r="C77" s="2" t="s">
        <v>713</v>
      </c>
      <c r="D77" s="2" t="s">
        <v>714</v>
      </c>
      <c r="E77" s="4" t="s">
        <v>715</v>
      </c>
      <c r="F77" s="2" t="s">
        <v>12</v>
      </c>
      <c r="G77" s="2" t="s">
        <v>12</v>
      </c>
      <c r="H77" s="4"/>
      <c r="I77" s="2" t="s">
        <v>492</v>
      </c>
      <c r="J77" s="2">
        <v>2021</v>
      </c>
      <c r="K77" s="2" t="s">
        <v>73</v>
      </c>
    </row>
    <row r="78" spans="1:11" ht="20.100000000000001" customHeight="1" x14ac:dyDescent="0.45">
      <c r="A78" s="2" t="s">
        <v>488</v>
      </c>
      <c r="B78" s="3">
        <v>79602473</v>
      </c>
      <c r="C78" s="2" t="s">
        <v>716</v>
      </c>
      <c r="D78" s="2" t="s">
        <v>717</v>
      </c>
      <c r="E78" s="4" t="s">
        <v>718</v>
      </c>
      <c r="F78" s="2" t="s">
        <v>12</v>
      </c>
      <c r="G78" s="2" t="s">
        <v>12</v>
      </c>
      <c r="H78" s="4"/>
      <c r="I78" s="2" t="s">
        <v>492</v>
      </c>
      <c r="J78" s="2">
        <v>2020</v>
      </c>
      <c r="K78" s="2" t="s">
        <v>73</v>
      </c>
    </row>
    <row r="79" spans="1:11" ht="20.100000000000001" customHeight="1" x14ac:dyDescent="0.45">
      <c r="A79" s="2" t="s">
        <v>488</v>
      </c>
      <c r="B79" s="3">
        <v>79776237</v>
      </c>
      <c r="C79" s="2" t="s">
        <v>719</v>
      </c>
      <c r="D79" s="2" t="s">
        <v>720</v>
      </c>
      <c r="E79" s="4" t="s">
        <v>721</v>
      </c>
      <c r="F79" s="2" t="s">
        <v>12</v>
      </c>
      <c r="G79" s="2" t="s">
        <v>12</v>
      </c>
      <c r="H79" s="4"/>
      <c r="I79" s="2" t="s">
        <v>492</v>
      </c>
      <c r="J79" s="2">
        <v>2021</v>
      </c>
      <c r="K79" s="2" t="s">
        <v>73</v>
      </c>
    </row>
    <row r="80" spans="1:11" ht="20.100000000000001" customHeight="1" x14ac:dyDescent="0.45">
      <c r="A80" s="2" t="s">
        <v>488</v>
      </c>
      <c r="B80" s="3">
        <v>79786359</v>
      </c>
      <c r="C80" s="2" t="s">
        <v>722</v>
      </c>
      <c r="D80" s="2" t="s">
        <v>723</v>
      </c>
      <c r="E80" s="4" t="s">
        <v>724</v>
      </c>
      <c r="F80" s="2" t="s">
        <v>12</v>
      </c>
      <c r="G80" s="2" t="s">
        <v>12</v>
      </c>
      <c r="H80" s="4"/>
      <c r="I80" s="2" t="s">
        <v>492</v>
      </c>
      <c r="J80" s="2">
        <v>2021</v>
      </c>
      <c r="K80" s="2" t="s">
        <v>73</v>
      </c>
    </row>
    <row r="81" spans="1:11" ht="20.100000000000001" customHeight="1" x14ac:dyDescent="0.45">
      <c r="A81" s="2" t="s">
        <v>488</v>
      </c>
      <c r="B81" s="3">
        <v>79793908</v>
      </c>
      <c r="C81" s="2" t="s">
        <v>725</v>
      </c>
      <c r="D81" s="2" t="s">
        <v>726</v>
      </c>
      <c r="E81" s="4" t="s">
        <v>727</v>
      </c>
      <c r="F81" s="2" t="s">
        <v>12</v>
      </c>
      <c r="G81" s="2" t="s">
        <v>12</v>
      </c>
      <c r="H81" s="4"/>
      <c r="I81" s="2" t="s">
        <v>492</v>
      </c>
      <c r="J81" s="2">
        <v>2023</v>
      </c>
      <c r="K81" s="2" t="s">
        <v>73</v>
      </c>
    </row>
    <row r="82" spans="1:11" ht="20.100000000000001" customHeight="1" x14ac:dyDescent="0.45">
      <c r="A82" s="2" t="s">
        <v>488</v>
      </c>
      <c r="B82" s="3">
        <v>80116306</v>
      </c>
      <c r="C82" s="2" t="s">
        <v>728</v>
      </c>
      <c r="D82" s="2" t="s">
        <v>729</v>
      </c>
      <c r="E82" s="4" t="s">
        <v>730</v>
      </c>
      <c r="F82" s="2" t="s">
        <v>12</v>
      </c>
      <c r="G82" s="2" t="s">
        <v>12</v>
      </c>
      <c r="H82" s="4"/>
      <c r="I82" s="2" t="s">
        <v>492</v>
      </c>
      <c r="J82" s="2">
        <v>2021</v>
      </c>
      <c r="K82" s="2" t="s">
        <v>73</v>
      </c>
    </row>
    <row r="83" spans="1:11" ht="20.100000000000001" customHeight="1" x14ac:dyDescent="0.45">
      <c r="A83" s="2" t="s">
        <v>488</v>
      </c>
      <c r="B83" s="3">
        <v>80129544</v>
      </c>
      <c r="C83" s="2" t="s">
        <v>731</v>
      </c>
      <c r="D83" s="2" t="s">
        <v>732</v>
      </c>
      <c r="E83" s="4" t="s">
        <v>733</v>
      </c>
      <c r="F83" s="2" t="s">
        <v>12</v>
      </c>
      <c r="G83" s="2" t="s">
        <v>12</v>
      </c>
      <c r="H83" s="4"/>
      <c r="I83" s="2" t="s">
        <v>492</v>
      </c>
      <c r="J83" s="2">
        <v>2021</v>
      </c>
      <c r="K83" s="2" t="s">
        <v>73</v>
      </c>
    </row>
    <row r="84" spans="1:11" ht="20.100000000000001" customHeight="1" x14ac:dyDescent="0.45">
      <c r="A84" s="2" t="s">
        <v>488</v>
      </c>
      <c r="B84" s="3">
        <v>80144442</v>
      </c>
      <c r="C84" s="2" t="s">
        <v>734</v>
      </c>
      <c r="D84" s="2" t="s">
        <v>735</v>
      </c>
      <c r="E84" s="4" t="s">
        <v>736</v>
      </c>
      <c r="F84" s="2" t="s">
        <v>12</v>
      </c>
      <c r="G84" s="2" t="s">
        <v>12</v>
      </c>
      <c r="H84" s="4"/>
      <c r="I84" s="2" t="s">
        <v>492</v>
      </c>
      <c r="J84" s="2">
        <v>2021</v>
      </c>
      <c r="K84" s="2" t="s">
        <v>73</v>
      </c>
    </row>
    <row r="85" spans="1:11" ht="20.100000000000001" customHeight="1" x14ac:dyDescent="0.45">
      <c r="A85" s="2" t="s">
        <v>488</v>
      </c>
      <c r="B85" s="3">
        <v>80179187</v>
      </c>
      <c r="C85" s="2" t="s">
        <v>737</v>
      </c>
      <c r="D85" s="2" t="s">
        <v>738</v>
      </c>
      <c r="E85" s="4" t="s">
        <v>739</v>
      </c>
      <c r="F85" s="2" t="s">
        <v>12</v>
      </c>
      <c r="G85" s="2" t="s">
        <v>12</v>
      </c>
      <c r="H85" s="4"/>
      <c r="I85" s="2" t="s">
        <v>492</v>
      </c>
      <c r="J85" s="2">
        <v>2021</v>
      </c>
      <c r="K85" s="2" t="s">
        <v>73</v>
      </c>
    </row>
    <row r="86" spans="1:11" ht="20.100000000000001" customHeight="1" x14ac:dyDescent="0.45">
      <c r="A86" s="2" t="s">
        <v>488</v>
      </c>
      <c r="B86" s="3">
        <v>80187171</v>
      </c>
      <c r="C86" s="2" t="s">
        <v>740</v>
      </c>
      <c r="D86" s="2" t="s">
        <v>741</v>
      </c>
      <c r="E86" s="4" t="s">
        <v>742</v>
      </c>
      <c r="F86" s="2" t="s">
        <v>12</v>
      </c>
      <c r="G86" s="2" t="s">
        <v>12</v>
      </c>
      <c r="H86" s="4"/>
      <c r="I86" s="2" t="s">
        <v>492</v>
      </c>
      <c r="J86" s="2">
        <v>2021</v>
      </c>
      <c r="K86" s="2" t="s">
        <v>73</v>
      </c>
    </row>
    <row r="87" spans="1:11" ht="20.100000000000001" customHeight="1" x14ac:dyDescent="0.45">
      <c r="A87" s="2" t="s">
        <v>488</v>
      </c>
      <c r="B87" s="3">
        <v>80771624</v>
      </c>
      <c r="C87" s="2" t="s">
        <v>743</v>
      </c>
      <c r="D87" s="2" t="s">
        <v>744</v>
      </c>
      <c r="E87" s="4" t="s">
        <v>745</v>
      </c>
      <c r="F87" s="2" t="s">
        <v>12</v>
      </c>
      <c r="G87" s="2" t="s">
        <v>12</v>
      </c>
      <c r="H87" s="4"/>
      <c r="I87" s="2" t="s">
        <v>492</v>
      </c>
      <c r="J87" s="2">
        <v>2021</v>
      </c>
      <c r="K87" s="2" t="s">
        <v>73</v>
      </c>
    </row>
    <row r="88" spans="1:11" ht="20.100000000000001" customHeight="1" x14ac:dyDescent="0.45">
      <c r="A88" s="2" t="s">
        <v>488</v>
      </c>
      <c r="B88" s="3">
        <v>80912321</v>
      </c>
      <c r="C88" s="2" t="s">
        <v>746</v>
      </c>
      <c r="D88" s="2" t="s">
        <v>747</v>
      </c>
      <c r="E88" s="4" t="s">
        <v>748</v>
      </c>
      <c r="F88" s="2" t="s">
        <v>12</v>
      </c>
      <c r="G88" s="2" t="s">
        <v>12</v>
      </c>
      <c r="H88" s="4"/>
      <c r="I88" s="2" t="s">
        <v>492</v>
      </c>
      <c r="J88" s="2">
        <v>2021</v>
      </c>
      <c r="K88" s="2" t="s">
        <v>73</v>
      </c>
    </row>
    <row r="89" spans="1:11" ht="20.100000000000001" customHeight="1" x14ac:dyDescent="0.45">
      <c r="A89" s="2" t="s">
        <v>488</v>
      </c>
      <c r="B89" s="3">
        <v>1000120544</v>
      </c>
      <c r="C89" s="2" t="s">
        <v>749</v>
      </c>
      <c r="D89" s="2" t="s">
        <v>750</v>
      </c>
      <c r="E89" s="4" t="s">
        <v>751</v>
      </c>
      <c r="F89" s="2" t="s">
        <v>12</v>
      </c>
      <c r="G89" s="2" t="s">
        <v>12</v>
      </c>
      <c r="H89" s="4"/>
      <c r="I89" s="2" t="s">
        <v>492</v>
      </c>
      <c r="J89" s="2">
        <v>2020</v>
      </c>
      <c r="K89" s="2" t="s">
        <v>73</v>
      </c>
    </row>
    <row r="90" spans="1:11" ht="20.100000000000001" customHeight="1" x14ac:dyDescent="0.45">
      <c r="A90" s="2" t="s">
        <v>488</v>
      </c>
      <c r="B90" s="3">
        <v>1000121345</v>
      </c>
      <c r="C90" s="2" t="s">
        <v>752</v>
      </c>
      <c r="D90" s="2" t="s">
        <v>753</v>
      </c>
      <c r="E90" s="4" t="s">
        <v>754</v>
      </c>
      <c r="F90" s="2" t="s">
        <v>12</v>
      </c>
      <c r="G90" s="2" t="s">
        <v>12</v>
      </c>
      <c r="H90" s="4"/>
      <c r="I90" s="2" t="s">
        <v>492</v>
      </c>
      <c r="J90" s="2">
        <v>2021</v>
      </c>
      <c r="K90" s="2" t="s">
        <v>73</v>
      </c>
    </row>
    <row r="91" spans="1:11" ht="20.100000000000001" customHeight="1" x14ac:dyDescent="0.45">
      <c r="A91" s="2" t="s">
        <v>488</v>
      </c>
      <c r="B91" s="3">
        <v>1000128690</v>
      </c>
      <c r="C91" s="2" t="s">
        <v>755</v>
      </c>
      <c r="D91" s="2" t="s">
        <v>756</v>
      </c>
      <c r="E91" s="4" t="s">
        <v>757</v>
      </c>
      <c r="F91" s="2" t="s">
        <v>12</v>
      </c>
      <c r="G91" s="2" t="s">
        <v>12</v>
      </c>
      <c r="H91" s="4"/>
      <c r="I91" s="2" t="s">
        <v>492</v>
      </c>
      <c r="J91" s="2">
        <v>2020</v>
      </c>
      <c r="K91" s="2" t="s">
        <v>73</v>
      </c>
    </row>
    <row r="92" spans="1:11" ht="20.100000000000001" customHeight="1" x14ac:dyDescent="0.45">
      <c r="A92" s="2" t="s">
        <v>488</v>
      </c>
      <c r="B92" s="3">
        <v>1000132494</v>
      </c>
      <c r="C92" s="2" t="s">
        <v>758</v>
      </c>
      <c r="D92" s="2" t="s">
        <v>759</v>
      </c>
      <c r="E92" s="4" t="s">
        <v>760</v>
      </c>
      <c r="F92" s="2" t="s">
        <v>12</v>
      </c>
      <c r="G92" s="2" t="s">
        <v>12</v>
      </c>
      <c r="H92" s="4"/>
      <c r="I92" s="2" t="s">
        <v>492</v>
      </c>
      <c r="J92" s="2">
        <v>2023</v>
      </c>
      <c r="K92" s="2" t="s">
        <v>73</v>
      </c>
    </row>
    <row r="93" spans="1:11" ht="20.100000000000001" customHeight="1" x14ac:dyDescent="0.45">
      <c r="A93" s="2" t="s">
        <v>488</v>
      </c>
      <c r="B93" s="3">
        <v>1000180798</v>
      </c>
      <c r="C93" s="2" t="s">
        <v>761</v>
      </c>
      <c r="D93" s="2" t="s">
        <v>762</v>
      </c>
      <c r="E93" s="4" t="s">
        <v>763</v>
      </c>
      <c r="F93" s="2" t="s">
        <v>12</v>
      </c>
      <c r="G93" s="2" t="s">
        <v>12</v>
      </c>
      <c r="H93" s="4"/>
      <c r="I93" s="2" t="s">
        <v>492</v>
      </c>
      <c r="J93" s="2">
        <v>2018</v>
      </c>
      <c r="K93" s="2" t="s">
        <v>73</v>
      </c>
    </row>
    <row r="94" spans="1:11" ht="20.100000000000001" customHeight="1" x14ac:dyDescent="0.45">
      <c r="A94" s="2" t="s">
        <v>488</v>
      </c>
      <c r="B94" s="3">
        <v>1000223421</v>
      </c>
      <c r="C94" s="2" t="s">
        <v>764</v>
      </c>
      <c r="D94" s="2" t="s">
        <v>765</v>
      </c>
      <c r="E94" s="4" t="s">
        <v>766</v>
      </c>
      <c r="F94" s="2" t="s">
        <v>12</v>
      </c>
      <c r="G94" s="2" t="s">
        <v>12</v>
      </c>
      <c r="H94" s="4"/>
      <c r="I94" s="2" t="s">
        <v>492</v>
      </c>
      <c r="J94" s="2">
        <v>2241</v>
      </c>
      <c r="K94" s="2" t="s">
        <v>73</v>
      </c>
    </row>
    <row r="95" spans="1:11" ht="20.100000000000001" customHeight="1" x14ac:dyDescent="0.45">
      <c r="A95" s="2" t="s">
        <v>488</v>
      </c>
      <c r="B95" s="3">
        <v>1000286730</v>
      </c>
      <c r="C95" s="2" t="s">
        <v>767</v>
      </c>
      <c r="D95" s="2" t="s">
        <v>768</v>
      </c>
      <c r="E95" s="4" t="s">
        <v>769</v>
      </c>
      <c r="F95" s="2" t="s">
        <v>12</v>
      </c>
      <c r="G95" s="2" t="s">
        <v>12</v>
      </c>
      <c r="H95" s="4"/>
      <c r="I95" s="2" t="s">
        <v>492</v>
      </c>
      <c r="J95" s="2">
        <v>2020</v>
      </c>
      <c r="K95" s="2" t="s">
        <v>73</v>
      </c>
    </row>
    <row r="96" spans="1:11" ht="20.100000000000001" customHeight="1" x14ac:dyDescent="0.45">
      <c r="A96" s="2" t="s">
        <v>488</v>
      </c>
      <c r="B96" s="3">
        <v>1000331392</v>
      </c>
      <c r="C96" s="2" t="s">
        <v>770</v>
      </c>
      <c r="D96" s="2" t="s">
        <v>771</v>
      </c>
      <c r="E96" s="4" t="s">
        <v>772</v>
      </c>
      <c r="F96" s="2" t="s">
        <v>12</v>
      </c>
      <c r="G96" s="2" t="s">
        <v>12</v>
      </c>
      <c r="H96" s="4"/>
      <c r="I96" s="2" t="s">
        <v>492</v>
      </c>
      <c r="J96" s="2">
        <v>2020</v>
      </c>
      <c r="K96" s="2" t="s">
        <v>73</v>
      </c>
    </row>
    <row r="97" spans="1:11" ht="20.100000000000001" customHeight="1" x14ac:dyDescent="0.45">
      <c r="A97" s="2" t="s">
        <v>488</v>
      </c>
      <c r="B97" s="3">
        <v>1000464386</v>
      </c>
      <c r="C97" s="2" t="s">
        <v>773</v>
      </c>
      <c r="D97" s="2" t="s">
        <v>774</v>
      </c>
      <c r="E97" s="4" t="s">
        <v>775</v>
      </c>
      <c r="F97" s="2" t="s">
        <v>12</v>
      </c>
      <c r="G97" s="2" t="s">
        <v>12</v>
      </c>
      <c r="H97" s="4"/>
      <c r="I97" s="2" t="s">
        <v>492</v>
      </c>
      <c r="J97" s="2">
        <v>2021</v>
      </c>
      <c r="K97" s="2" t="s">
        <v>73</v>
      </c>
    </row>
    <row r="98" spans="1:11" ht="20.100000000000001" customHeight="1" x14ac:dyDescent="0.45">
      <c r="A98" s="2" t="s">
        <v>488</v>
      </c>
      <c r="B98" s="3">
        <v>1000470480</v>
      </c>
      <c r="C98" s="2" t="s">
        <v>776</v>
      </c>
      <c r="D98" s="2" t="s">
        <v>777</v>
      </c>
      <c r="E98" s="4" t="s">
        <v>778</v>
      </c>
      <c r="F98" s="2" t="s">
        <v>12</v>
      </c>
      <c r="G98" s="2" t="s">
        <v>12</v>
      </c>
      <c r="H98" s="4"/>
      <c r="I98" s="2" t="s">
        <v>492</v>
      </c>
      <c r="J98" s="2">
        <v>2023</v>
      </c>
      <c r="K98" s="2" t="s">
        <v>73</v>
      </c>
    </row>
    <row r="99" spans="1:11" ht="20.100000000000001" customHeight="1" x14ac:dyDescent="0.45">
      <c r="A99" s="2" t="s">
        <v>488</v>
      </c>
      <c r="B99" s="3">
        <v>1000580654</v>
      </c>
      <c r="C99" s="2" t="s">
        <v>779</v>
      </c>
      <c r="D99" s="2" t="s">
        <v>780</v>
      </c>
      <c r="E99" s="4" t="s">
        <v>781</v>
      </c>
      <c r="F99" s="2" t="s">
        <v>12</v>
      </c>
      <c r="G99" s="2" t="s">
        <v>12</v>
      </c>
      <c r="H99" s="4"/>
      <c r="I99" s="2" t="s">
        <v>492</v>
      </c>
      <c r="J99" s="2">
        <v>2023</v>
      </c>
      <c r="K99" s="2" t="s">
        <v>73</v>
      </c>
    </row>
    <row r="100" spans="1:11" ht="20.100000000000001" customHeight="1" x14ac:dyDescent="0.45">
      <c r="A100" s="2" t="s">
        <v>488</v>
      </c>
      <c r="B100" s="3">
        <v>1000689153</v>
      </c>
      <c r="C100" s="2" t="s">
        <v>782</v>
      </c>
      <c r="D100" s="2" t="s">
        <v>783</v>
      </c>
      <c r="E100" s="4" t="s">
        <v>784</v>
      </c>
      <c r="F100" s="2" t="s">
        <v>12</v>
      </c>
      <c r="G100" s="2" t="s">
        <v>12</v>
      </c>
      <c r="H100" s="4"/>
      <c r="I100" s="2" t="s">
        <v>492</v>
      </c>
      <c r="J100" s="2">
        <v>2021</v>
      </c>
      <c r="K100" s="2" t="s">
        <v>73</v>
      </c>
    </row>
    <row r="101" spans="1:11" ht="20.100000000000001" customHeight="1" x14ac:dyDescent="0.45">
      <c r="A101" s="2" t="s">
        <v>488</v>
      </c>
      <c r="B101" s="3">
        <v>1000719280</v>
      </c>
      <c r="C101" s="2" t="s">
        <v>785</v>
      </c>
      <c r="D101" s="2" t="s">
        <v>786</v>
      </c>
      <c r="E101" s="4" t="s">
        <v>787</v>
      </c>
      <c r="F101" s="2" t="s">
        <v>12</v>
      </c>
      <c r="G101" s="2" t="s">
        <v>12</v>
      </c>
      <c r="H101" s="4"/>
      <c r="I101" s="2" t="s">
        <v>492</v>
      </c>
      <c r="J101" s="2">
        <v>2021</v>
      </c>
      <c r="K101" s="2" t="s">
        <v>73</v>
      </c>
    </row>
    <row r="102" spans="1:11" ht="20.100000000000001" customHeight="1" x14ac:dyDescent="0.45">
      <c r="A102" s="2" t="s">
        <v>488</v>
      </c>
      <c r="B102" s="3">
        <v>1000786816</v>
      </c>
      <c r="C102" s="2" t="s">
        <v>788</v>
      </c>
      <c r="D102" s="2" t="s">
        <v>789</v>
      </c>
      <c r="E102" s="4" t="s">
        <v>790</v>
      </c>
      <c r="F102" s="2" t="s">
        <v>12</v>
      </c>
      <c r="G102" s="2" t="s">
        <v>12</v>
      </c>
      <c r="H102" s="4"/>
      <c r="I102" s="2" t="s">
        <v>492</v>
      </c>
      <c r="J102" s="2">
        <v>2022</v>
      </c>
      <c r="K102" s="2" t="s">
        <v>73</v>
      </c>
    </row>
    <row r="103" spans="1:11" ht="20.100000000000001" customHeight="1" x14ac:dyDescent="0.45">
      <c r="A103" s="2" t="s">
        <v>488</v>
      </c>
      <c r="B103" s="3">
        <v>1000801875</v>
      </c>
      <c r="C103" s="2" t="s">
        <v>791</v>
      </c>
      <c r="D103" s="2" t="s">
        <v>792</v>
      </c>
      <c r="E103" s="4" t="s">
        <v>793</v>
      </c>
      <c r="F103" s="2" t="s">
        <v>12</v>
      </c>
      <c r="G103" s="2" t="s">
        <v>12</v>
      </c>
      <c r="H103" s="4"/>
      <c r="I103" s="2" t="s">
        <v>492</v>
      </c>
      <c r="J103" s="2">
        <v>2019</v>
      </c>
      <c r="K103" s="2" t="s">
        <v>73</v>
      </c>
    </row>
    <row r="104" spans="1:11" ht="20.100000000000001" customHeight="1" x14ac:dyDescent="0.45">
      <c r="A104" s="2" t="s">
        <v>488</v>
      </c>
      <c r="B104" s="3">
        <v>1000861496</v>
      </c>
      <c r="C104" s="2" t="s">
        <v>794</v>
      </c>
      <c r="D104" s="2" t="s">
        <v>795</v>
      </c>
      <c r="E104" s="4" t="s">
        <v>796</v>
      </c>
      <c r="F104" s="2" t="s">
        <v>12</v>
      </c>
      <c r="G104" s="2" t="s">
        <v>12</v>
      </c>
      <c r="H104" s="4"/>
      <c r="I104" s="2" t="s">
        <v>492</v>
      </c>
      <c r="J104" s="2">
        <v>2022</v>
      </c>
      <c r="K104" s="2" t="s">
        <v>73</v>
      </c>
    </row>
    <row r="105" spans="1:11" ht="20.100000000000001" customHeight="1" x14ac:dyDescent="0.45">
      <c r="A105" s="2" t="s">
        <v>488</v>
      </c>
      <c r="B105" s="3">
        <v>1000931731</v>
      </c>
      <c r="C105" s="2" t="s">
        <v>797</v>
      </c>
      <c r="D105" s="2" t="s">
        <v>798</v>
      </c>
      <c r="E105" s="4" t="s">
        <v>799</v>
      </c>
      <c r="F105" s="2" t="s">
        <v>12</v>
      </c>
      <c r="G105" s="2" t="s">
        <v>12</v>
      </c>
      <c r="H105" s="4"/>
      <c r="I105" s="2" t="s">
        <v>492</v>
      </c>
      <c r="J105" s="2">
        <v>2020</v>
      </c>
      <c r="K105" s="2" t="s">
        <v>73</v>
      </c>
    </row>
    <row r="106" spans="1:11" ht="20.100000000000001" customHeight="1" x14ac:dyDescent="0.45">
      <c r="A106" s="2" t="s">
        <v>488</v>
      </c>
      <c r="B106" s="3">
        <v>1001096148</v>
      </c>
      <c r="C106" s="2" t="s">
        <v>800</v>
      </c>
      <c r="D106" s="2" t="s">
        <v>801</v>
      </c>
      <c r="E106" s="4" t="s">
        <v>802</v>
      </c>
      <c r="F106" s="2" t="s">
        <v>12</v>
      </c>
      <c r="G106" s="2" t="s">
        <v>12</v>
      </c>
      <c r="H106" s="4"/>
      <c r="I106" s="2" t="s">
        <v>492</v>
      </c>
      <c r="J106" s="2">
        <v>2021</v>
      </c>
      <c r="K106" s="2" t="s">
        <v>73</v>
      </c>
    </row>
    <row r="107" spans="1:11" ht="20.100000000000001" customHeight="1" x14ac:dyDescent="0.45">
      <c r="A107" s="2" t="s">
        <v>488</v>
      </c>
      <c r="B107" s="3">
        <v>1001115014</v>
      </c>
      <c r="C107" s="2" t="s">
        <v>803</v>
      </c>
      <c r="D107" s="2" t="s">
        <v>804</v>
      </c>
      <c r="E107" s="4" t="s">
        <v>805</v>
      </c>
      <c r="F107" s="2" t="s">
        <v>12</v>
      </c>
      <c r="G107" s="2" t="s">
        <v>12</v>
      </c>
      <c r="H107" s="4"/>
      <c r="I107" s="2" t="s">
        <v>492</v>
      </c>
      <c r="J107" s="2">
        <v>2020</v>
      </c>
      <c r="K107" s="2" t="s">
        <v>73</v>
      </c>
    </row>
    <row r="108" spans="1:11" ht="20.100000000000001" customHeight="1" x14ac:dyDescent="0.45">
      <c r="A108" s="2" t="s">
        <v>488</v>
      </c>
      <c r="B108" s="3">
        <v>1001176185</v>
      </c>
      <c r="C108" s="2" t="s">
        <v>806</v>
      </c>
      <c r="D108" s="2" t="s">
        <v>807</v>
      </c>
      <c r="E108" s="4" t="s">
        <v>808</v>
      </c>
      <c r="F108" s="2" t="s">
        <v>12</v>
      </c>
      <c r="G108" s="2" t="s">
        <v>12</v>
      </c>
      <c r="H108" s="4"/>
      <c r="I108" s="2" t="s">
        <v>492</v>
      </c>
      <c r="J108" s="2">
        <v>2020</v>
      </c>
      <c r="K108" s="2" t="s">
        <v>73</v>
      </c>
    </row>
    <row r="109" spans="1:11" ht="20.100000000000001" customHeight="1" x14ac:dyDescent="0.45">
      <c r="A109" s="2" t="s">
        <v>488</v>
      </c>
      <c r="B109" s="3">
        <v>1001215716</v>
      </c>
      <c r="C109" s="2" t="s">
        <v>809</v>
      </c>
      <c r="D109" s="2" t="s">
        <v>810</v>
      </c>
      <c r="E109" s="4" t="s">
        <v>811</v>
      </c>
      <c r="F109" s="2" t="s">
        <v>12</v>
      </c>
      <c r="G109" s="2" t="s">
        <v>12</v>
      </c>
      <c r="H109" s="4"/>
      <c r="I109" s="2" t="s">
        <v>492</v>
      </c>
      <c r="J109" s="2">
        <v>2020</v>
      </c>
      <c r="K109" s="2" t="s">
        <v>73</v>
      </c>
    </row>
    <row r="110" spans="1:11" ht="20.100000000000001" customHeight="1" x14ac:dyDescent="0.45">
      <c r="A110" s="2" t="s">
        <v>488</v>
      </c>
      <c r="B110" s="3">
        <v>1001282010</v>
      </c>
      <c r="C110" s="2" t="s">
        <v>812</v>
      </c>
      <c r="D110" s="2" t="s">
        <v>813</v>
      </c>
      <c r="E110" s="4" t="s">
        <v>814</v>
      </c>
      <c r="F110" s="2" t="s">
        <v>12</v>
      </c>
      <c r="G110" s="2" t="s">
        <v>12</v>
      </c>
      <c r="H110" s="4"/>
      <c r="I110" s="2" t="s">
        <v>492</v>
      </c>
      <c r="J110" s="2">
        <v>2241</v>
      </c>
      <c r="K110" s="2" t="s">
        <v>73</v>
      </c>
    </row>
    <row r="111" spans="1:11" ht="20.100000000000001" customHeight="1" x14ac:dyDescent="0.45">
      <c r="A111" s="2" t="s">
        <v>488</v>
      </c>
      <c r="B111" s="3">
        <v>1001885355</v>
      </c>
      <c r="C111" s="2" t="s">
        <v>815</v>
      </c>
      <c r="D111" s="2" t="s">
        <v>527</v>
      </c>
      <c r="E111" s="4" t="s">
        <v>816</v>
      </c>
      <c r="F111" s="2" t="s">
        <v>12</v>
      </c>
      <c r="G111" s="2" t="s">
        <v>12</v>
      </c>
      <c r="H111" s="4"/>
      <c r="I111" s="2" t="s">
        <v>492</v>
      </c>
      <c r="J111" s="2">
        <v>2021</v>
      </c>
      <c r="K111" s="2" t="s">
        <v>73</v>
      </c>
    </row>
    <row r="112" spans="1:11" ht="20.100000000000001" customHeight="1" x14ac:dyDescent="0.45">
      <c r="A112" s="2" t="s">
        <v>488</v>
      </c>
      <c r="B112" s="3">
        <v>1002303821</v>
      </c>
      <c r="C112" s="2" t="s">
        <v>817</v>
      </c>
      <c r="D112" s="2" t="s">
        <v>818</v>
      </c>
      <c r="E112" s="4" t="s">
        <v>819</v>
      </c>
      <c r="F112" s="2" t="s">
        <v>12</v>
      </c>
      <c r="G112" s="2" t="s">
        <v>12</v>
      </c>
      <c r="H112" s="4"/>
      <c r="I112" s="2" t="s">
        <v>492</v>
      </c>
      <c r="J112" s="2">
        <v>2020</v>
      </c>
      <c r="K112" s="2" t="s">
        <v>73</v>
      </c>
    </row>
    <row r="113" spans="1:11" ht="20.100000000000001" customHeight="1" x14ac:dyDescent="0.45">
      <c r="A113" s="2" t="s">
        <v>488</v>
      </c>
      <c r="B113" s="3">
        <v>1002392387</v>
      </c>
      <c r="C113" s="2" t="s">
        <v>820</v>
      </c>
      <c r="D113" s="2" t="s">
        <v>821</v>
      </c>
      <c r="E113" s="4" t="s">
        <v>822</v>
      </c>
      <c r="F113" s="2" t="s">
        <v>12</v>
      </c>
      <c r="G113" s="2" t="s">
        <v>12</v>
      </c>
      <c r="H113" s="4"/>
      <c r="I113" s="2" t="s">
        <v>492</v>
      </c>
      <c r="J113" s="2">
        <v>2021</v>
      </c>
      <c r="K113" s="2" t="s">
        <v>73</v>
      </c>
    </row>
    <row r="114" spans="1:11" ht="20.100000000000001" customHeight="1" x14ac:dyDescent="0.45">
      <c r="A114" s="2" t="s">
        <v>488</v>
      </c>
      <c r="B114" s="3">
        <v>1002591182</v>
      </c>
      <c r="C114" s="2" t="s">
        <v>823</v>
      </c>
      <c r="D114" s="2" t="s">
        <v>824</v>
      </c>
      <c r="E114" s="4" t="s">
        <v>825</v>
      </c>
      <c r="F114" s="2" t="s">
        <v>12</v>
      </c>
      <c r="G114" s="2" t="s">
        <v>12</v>
      </c>
      <c r="H114" s="4"/>
      <c r="I114" s="2" t="s">
        <v>492</v>
      </c>
      <c r="J114" s="2">
        <v>2022</v>
      </c>
      <c r="K114" s="2" t="s">
        <v>73</v>
      </c>
    </row>
    <row r="115" spans="1:11" ht="20.100000000000001" customHeight="1" x14ac:dyDescent="0.45">
      <c r="A115" s="2" t="s">
        <v>488</v>
      </c>
      <c r="B115" s="3">
        <v>1003656301</v>
      </c>
      <c r="C115" s="2" t="s">
        <v>826</v>
      </c>
      <c r="D115" s="2" t="s">
        <v>827</v>
      </c>
      <c r="E115" s="4" t="s">
        <v>828</v>
      </c>
      <c r="F115" s="2" t="s">
        <v>12</v>
      </c>
      <c r="G115" s="2" t="s">
        <v>12</v>
      </c>
      <c r="H115" s="4"/>
      <c r="I115" s="2" t="s">
        <v>492</v>
      </c>
      <c r="J115" s="2">
        <v>2022</v>
      </c>
      <c r="K115" s="2" t="s">
        <v>73</v>
      </c>
    </row>
    <row r="116" spans="1:11" ht="20.100000000000001" customHeight="1" x14ac:dyDescent="0.45">
      <c r="A116" s="2" t="s">
        <v>488</v>
      </c>
      <c r="B116" s="3">
        <v>1003812236</v>
      </c>
      <c r="C116" s="2" t="s">
        <v>829</v>
      </c>
      <c r="D116" s="2" t="s">
        <v>830</v>
      </c>
      <c r="E116" s="4" t="s">
        <v>831</v>
      </c>
      <c r="F116" s="2" t="s">
        <v>12</v>
      </c>
      <c r="G116" s="2" t="s">
        <v>12</v>
      </c>
      <c r="H116" s="4"/>
      <c r="I116" s="2" t="s">
        <v>492</v>
      </c>
      <c r="J116" s="2">
        <v>2022</v>
      </c>
      <c r="K116" s="2" t="s">
        <v>73</v>
      </c>
    </row>
    <row r="117" spans="1:11" ht="20.100000000000001" customHeight="1" x14ac:dyDescent="0.45">
      <c r="A117" s="2" t="s">
        <v>488</v>
      </c>
      <c r="B117" s="3">
        <v>1005740782</v>
      </c>
      <c r="C117" s="2" t="s">
        <v>832</v>
      </c>
      <c r="D117" s="2" t="s">
        <v>833</v>
      </c>
      <c r="E117" s="4" t="s">
        <v>834</v>
      </c>
      <c r="F117" s="2" t="s">
        <v>12</v>
      </c>
      <c r="G117" s="2" t="s">
        <v>12</v>
      </c>
      <c r="H117" s="4"/>
      <c r="I117" s="2" t="s">
        <v>492</v>
      </c>
      <c r="J117" s="2">
        <v>2020</v>
      </c>
      <c r="K117" s="2" t="s">
        <v>73</v>
      </c>
    </row>
    <row r="118" spans="1:11" ht="20.100000000000001" customHeight="1" x14ac:dyDescent="0.45">
      <c r="A118" s="2" t="s">
        <v>488</v>
      </c>
      <c r="B118" s="3">
        <v>1007288345</v>
      </c>
      <c r="C118" s="2" t="s">
        <v>835</v>
      </c>
      <c r="D118" s="2" t="s">
        <v>836</v>
      </c>
      <c r="E118" s="4" t="s">
        <v>837</v>
      </c>
      <c r="F118" s="2" t="s">
        <v>12</v>
      </c>
      <c r="G118" s="2" t="s">
        <v>12</v>
      </c>
      <c r="H118" s="4"/>
      <c r="I118" s="2" t="s">
        <v>492</v>
      </c>
      <c r="J118" s="2">
        <v>2020</v>
      </c>
      <c r="K118" s="2" t="s">
        <v>73</v>
      </c>
    </row>
    <row r="119" spans="1:11" ht="20.100000000000001" customHeight="1" x14ac:dyDescent="0.45">
      <c r="A119" s="2" t="s">
        <v>488</v>
      </c>
      <c r="B119" s="3">
        <v>1007294955</v>
      </c>
      <c r="C119" s="2" t="s">
        <v>838</v>
      </c>
      <c r="D119" s="2" t="s">
        <v>839</v>
      </c>
      <c r="E119" s="4" t="s">
        <v>840</v>
      </c>
      <c r="F119" s="2" t="s">
        <v>12</v>
      </c>
      <c r="G119" s="2" t="s">
        <v>12</v>
      </c>
      <c r="H119" s="4"/>
      <c r="I119" s="2" t="s">
        <v>492</v>
      </c>
      <c r="J119" s="2">
        <v>2022</v>
      </c>
      <c r="K119" s="2" t="s">
        <v>73</v>
      </c>
    </row>
    <row r="120" spans="1:11" ht="20.100000000000001" customHeight="1" x14ac:dyDescent="0.45">
      <c r="A120" s="2" t="s">
        <v>488</v>
      </c>
      <c r="B120" s="3">
        <v>1007483163</v>
      </c>
      <c r="C120" s="2" t="s">
        <v>841</v>
      </c>
      <c r="D120" s="2" t="s">
        <v>842</v>
      </c>
      <c r="E120" s="4" t="s">
        <v>843</v>
      </c>
      <c r="F120" s="2" t="s">
        <v>12</v>
      </c>
      <c r="G120" s="2" t="s">
        <v>12</v>
      </c>
      <c r="H120" s="4"/>
      <c r="I120" s="2" t="s">
        <v>492</v>
      </c>
      <c r="J120" s="2">
        <v>2026</v>
      </c>
      <c r="K120" s="2" t="s">
        <v>73</v>
      </c>
    </row>
    <row r="121" spans="1:11" ht="20.100000000000001" customHeight="1" x14ac:dyDescent="0.45">
      <c r="A121" s="2" t="s">
        <v>488</v>
      </c>
      <c r="B121" s="3">
        <v>1007504115</v>
      </c>
      <c r="C121" s="2" t="s">
        <v>844</v>
      </c>
      <c r="D121" s="2" t="s">
        <v>845</v>
      </c>
      <c r="E121" s="4" t="s">
        <v>846</v>
      </c>
      <c r="F121" s="2" t="s">
        <v>12</v>
      </c>
      <c r="G121" s="2" t="s">
        <v>12</v>
      </c>
      <c r="H121" s="4"/>
      <c r="I121" s="2" t="s">
        <v>492</v>
      </c>
      <c r="J121" s="2">
        <v>2022</v>
      </c>
      <c r="K121" s="2" t="s">
        <v>73</v>
      </c>
    </row>
    <row r="122" spans="1:11" ht="20.100000000000001" customHeight="1" x14ac:dyDescent="0.45">
      <c r="A122" s="2" t="s">
        <v>488</v>
      </c>
      <c r="B122" s="3">
        <v>1007538651</v>
      </c>
      <c r="C122" s="2" t="s">
        <v>847</v>
      </c>
      <c r="D122" s="2" t="s">
        <v>848</v>
      </c>
      <c r="E122" s="4" t="s">
        <v>849</v>
      </c>
      <c r="F122" s="2" t="s">
        <v>12</v>
      </c>
      <c r="G122" s="2" t="s">
        <v>12</v>
      </c>
      <c r="H122" s="4"/>
      <c r="I122" s="2" t="s">
        <v>492</v>
      </c>
      <c r="J122" s="2">
        <v>2020</v>
      </c>
      <c r="K122" s="2" t="s">
        <v>73</v>
      </c>
    </row>
    <row r="123" spans="1:11" ht="20.100000000000001" customHeight="1" x14ac:dyDescent="0.45">
      <c r="A123" s="2" t="s">
        <v>488</v>
      </c>
      <c r="B123" s="3">
        <v>1007718465</v>
      </c>
      <c r="C123" s="2" t="s">
        <v>850</v>
      </c>
      <c r="D123" s="2" t="s">
        <v>851</v>
      </c>
      <c r="E123" s="4" t="s">
        <v>852</v>
      </c>
      <c r="F123" s="2" t="s">
        <v>12</v>
      </c>
      <c r="G123" s="2" t="s">
        <v>12</v>
      </c>
      <c r="H123" s="4"/>
      <c r="I123" s="2" t="s">
        <v>492</v>
      </c>
      <c r="J123" s="2">
        <v>2020</v>
      </c>
      <c r="K123" s="2" t="s">
        <v>73</v>
      </c>
    </row>
    <row r="124" spans="1:11" ht="20.100000000000001" customHeight="1" x14ac:dyDescent="0.45">
      <c r="A124" s="2" t="s">
        <v>488</v>
      </c>
      <c r="B124" s="3">
        <v>1010017328</v>
      </c>
      <c r="C124" s="2" t="s">
        <v>853</v>
      </c>
      <c r="D124" s="2" t="s">
        <v>854</v>
      </c>
      <c r="E124" s="4" t="s">
        <v>855</v>
      </c>
      <c r="F124" s="2" t="s">
        <v>12</v>
      </c>
      <c r="G124" s="2" t="s">
        <v>12</v>
      </c>
      <c r="H124" s="4"/>
      <c r="I124" s="2" t="s">
        <v>492</v>
      </c>
      <c r="J124" s="2">
        <v>2021</v>
      </c>
      <c r="K124" s="2" t="s">
        <v>73</v>
      </c>
    </row>
    <row r="125" spans="1:11" ht="20.100000000000001" customHeight="1" x14ac:dyDescent="0.45">
      <c r="A125" s="2" t="s">
        <v>488</v>
      </c>
      <c r="B125" s="3">
        <v>1010128066</v>
      </c>
      <c r="C125" s="2" t="s">
        <v>856</v>
      </c>
      <c r="D125" s="2" t="s">
        <v>857</v>
      </c>
      <c r="E125" s="4" t="s">
        <v>858</v>
      </c>
      <c r="F125" s="2" t="s">
        <v>12</v>
      </c>
      <c r="G125" s="2" t="s">
        <v>12</v>
      </c>
      <c r="H125" s="4"/>
      <c r="I125" s="2" t="s">
        <v>492</v>
      </c>
      <c r="J125" s="2">
        <v>2021</v>
      </c>
      <c r="K125" s="2" t="s">
        <v>73</v>
      </c>
    </row>
    <row r="126" spans="1:11" ht="20.100000000000001" customHeight="1" x14ac:dyDescent="0.45">
      <c r="A126" s="2" t="s">
        <v>488</v>
      </c>
      <c r="B126" s="3">
        <v>1010206342</v>
      </c>
      <c r="C126" s="2" t="s">
        <v>859</v>
      </c>
      <c r="D126" s="2" t="s">
        <v>860</v>
      </c>
      <c r="E126" s="4" t="s">
        <v>861</v>
      </c>
      <c r="F126" s="2" t="s">
        <v>12</v>
      </c>
      <c r="G126" s="2" t="s">
        <v>12</v>
      </c>
      <c r="H126" s="4"/>
      <c r="I126" s="2" t="s">
        <v>492</v>
      </c>
      <c r="J126" s="2">
        <v>3708</v>
      </c>
      <c r="K126" s="2" t="s">
        <v>73</v>
      </c>
    </row>
    <row r="127" spans="1:11" ht="20.100000000000001" customHeight="1" x14ac:dyDescent="0.45">
      <c r="A127" s="2" t="s">
        <v>488</v>
      </c>
      <c r="B127" s="3">
        <v>1010210552</v>
      </c>
      <c r="C127" s="2" t="s">
        <v>862</v>
      </c>
      <c r="D127" s="2" t="s">
        <v>863</v>
      </c>
      <c r="E127" s="4" t="s">
        <v>864</v>
      </c>
      <c r="F127" s="2" t="s">
        <v>12</v>
      </c>
      <c r="G127" s="2" t="s">
        <v>12</v>
      </c>
      <c r="H127" s="4"/>
      <c r="I127" s="2" t="s">
        <v>492</v>
      </c>
      <c r="J127" s="2">
        <v>2028</v>
      </c>
      <c r="K127" s="2" t="s">
        <v>73</v>
      </c>
    </row>
    <row r="128" spans="1:11" ht="20.100000000000001" customHeight="1" x14ac:dyDescent="0.45">
      <c r="A128" s="2" t="s">
        <v>488</v>
      </c>
      <c r="B128" s="3">
        <v>1012319117</v>
      </c>
      <c r="C128" s="2" t="s">
        <v>865</v>
      </c>
      <c r="D128" s="2" t="s">
        <v>866</v>
      </c>
      <c r="E128" s="4" t="s">
        <v>867</v>
      </c>
      <c r="F128" s="2" t="s">
        <v>12</v>
      </c>
      <c r="G128" s="2" t="s">
        <v>12</v>
      </c>
      <c r="H128" s="4"/>
      <c r="I128" s="2" t="s">
        <v>492</v>
      </c>
      <c r="J128" s="2">
        <v>2021</v>
      </c>
      <c r="K128" s="2" t="s">
        <v>73</v>
      </c>
    </row>
    <row r="129" spans="1:11" ht="20.100000000000001" customHeight="1" x14ac:dyDescent="0.45">
      <c r="A129" s="2" t="s">
        <v>488</v>
      </c>
      <c r="B129" s="3">
        <v>1012337456</v>
      </c>
      <c r="C129" s="2" t="s">
        <v>868</v>
      </c>
      <c r="D129" s="2" t="s">
        <v>869</v>
      </c>
      <c r="E129" s="4" t="s">
        <v>870</v>
      </c>
      <c r="F129" s="2" t="s">
        <v>12</v>
      </c>
      <c r="G129" s="2" t="s">
        <v>12</v>
      </c>
      <c r="H129" s="4"/>
      <c r="I129" s="2" t="s">
        <v>492</v>
      </c>
      <c r="J129" s="2">
        <v>2026</v>
      </c>
      <c r="K129" s="2" t="s">
        <v>73</v>
      </c>
    </row>
    <row r="130" spans="1:11" ht="20.100000000000001" customHeight="1" x14ac:dyDescent="0.45">
      <c r="A130" s="2" t="s">
        <v>488</v>
      </c>
      <c r="B130" s="3">
        <v>1012387879</v>
      </c>
      <c r="C130" s="2" t="s">
        <v>871</v>
      </c>
      <c r="D130" s="2" t="s">
        <v>872</v>
      </c>
      <c r="E130" s="4" t="s">
        <v>873</v>
      </c>
      <c r="F130" s="2" t="s">
        <v>12</v>
      </c>
      <c r="G130" s="2" t="s">
        <v>12</v>
      </c>
      <c r="H130" s="4"/>
      <c r="I130" s="2" t="s">
        <v>492</v>
      </c>
      <c r="J130" s="2">
        <v>2021</v>
      </c>
      <c r="K130" s="2" t="s">
        <v>73</v>
      </c>
    </row>
    <row r="131" spans="1:11" ht="20.100000000000001" customHeight="1" x14ac:dyDescent="0.45">
      <c r="A131" s="2" t="s">
        <v>488</v>
      </c>
      <c r="B131" s="3">
        <v>1012414069</v>
      </c>
      <c r="C131" s="2" t="s">
        <v>874</v>
      </c>
      <c r="D131" s="2" t="s">
        <v>875</v>
      </c>
      <c r="E131" s="4" t="s">
        <v>876</v>
      </c>
      <c r="F131" s="2" t="s">
        <v>12</v>
      </c>
      <c r="G131" s="2" t="s">
        <v>12</v>
      </c>
      <c r="H131" s="4"/>
      <c r="I131" s="2" t="s">
        <v>492</v>
      </c>
      <c r="J131" s="2">
        <v>2026</v>
      </c>
      <c r="K131" s="2" t="s">
        <v>73</v>
      </c>
    </row>
    <row r="132" spans="1:11" ht="20.100000000000001" customHeight="1" x14ac:dyDescent="0.45">
      <c r="A132" s="2" t="s">
        <v>488</v>
      </c>
      <c r="B132" s="3">
        <v>1012423376</v>
      </c>
      <c r="C132" s="2" t="s">
        <v>877</v>
      </c>
      <c r="D132" s="2" t="s">
        <v>878</v>
      </c>
      <c r="E132" s="4" t="s">
        <v>879</v>
      </c>
      <c r="F132" s="2" t="s">
        <v>12</v>
      </c>
      <c r="G132" s="2" t="s">
        <v>12</v>
      </c>
      <c r="H132" s="4"/>
      <c r="I132" s="2" t="s">
        <v>492</v>
      </c>
      <c r="J132" s="2">
        <v>2023</v>
      </c>
      <c r="K132" s="2" t="s">
        <v>73</v>
      </c>
    </row>
    <row r="133" spans="1:11" ht="20.100000000000001" customHeight="1" x14ac:dyDescent="0.45">
      <c r="A133" s="2" t="s">
        <v>488</v>
      </c>
      <c r="B133" s="3">
        <v>1012429383</v>
      </c>
      <c r="C133" s="2" t="s">
        <v>880</v>
      </c>
      <c r="D133" s="2" t="s">
        <v>881</v>
      </c>
      <c r="E133" s="4" t="s">
        <v>882</v>
      </c>
      <c r="F133" s="2" t="s">
        <v>12</v>
      </c>
      <c r="G133" s="2" t="s">
        <v>12</v>
      </c>
      <c r="H133" s="4"/>
      <c r="I133" s="2" t="s">
        <v>492</v>
      </c>
      <c r="J133" s="2">
        <v>3708</v>
      </c>
      <c r="K133" s="2" t="s">
        <v>73</v>
      </c>
    </row>
    <row r="134" spans="1:11" ht="20.100000000000001" customHeight="1" x14ac:dyDescent="0.45">
      <c r="A134" s="2" t="s">
        <v>488</v>
      </c>
      <c r="B134" s="3">
        <v>1012442573</v>
      </c>
      <c r="C134" s="2" t="s">
        <v>883</v>
      </c>
      <c r="D134" s="2" t="s">
        <v>884</v>
      </c>
      <c r="E134" s="4" t="s">
        <v>885</v>
      </c>
      <c r="F134" s="2" t="s">
        <v>12</v>
      </c>
      <c r="G134" s="2" t="s">
        <v>12</v>
      </c>
      <c r="H134" s="4"/>
      <c r="I134" s="2" t="s">
        <v>492</v>
      </c>
      <c r="J134" s="2">
        <v>2023</v>
      </c>
      <c r="K134" s="2" t="s">
        <v>73</v>
      </c>
    </row>
    <row r="135" spans="1:11" ht="20.100000000000001" customHeight="1" x14ac:dyDescent="0.45">
      <c r="A135" s="2" t="s">
        <v>488</v>
      </c>
      <c r="B135" s="3">
        <v>1012454118</v>
      </c>
      <c r="C135" s="2" t="s">
        <v>886</v>
      </c>
      <c r="D135" s="2" t="s">
        <v>887</v>
      </c>
      <c r="E135" s="4" t="s">
        <v>888</v>
      </c>
      <c r="F135" s="2" t="s">
        <v>12</v>
      </c>
      <c r="G135" s="2" t="s">
        <v>12</v>
      </c>
      <c r="H135" s="4"/>
      <c r="I135" s="2" t="s">
        <v>492</v>
      </c>
      <c r="J135" s="2">
        <v>2020</v>
      </c>
      <c r="K135" s="2" t="s">
        <v>73</v>
      </c>
    </row>
    <row r="136" spans="1:11" ht="20.100000000000001" customHeight="1" x14ac:dyDescent="0.45">
      <c r="A136" s="2" t="s">
        <v>488</v>
      </c>
      <c r="B136" s="3">
        <v>1013102692</v>
      </c>
      <c r="C136" s="2" t="s">
        <v>889</v>
      </c>
      <c r="D136" s="2" t="s">
        <v>890</v>
      </c>
      <c r="E136" s="4" t="s">
        <v>891</v>
      </c>
      <c r="F136" s="2" t="s">
        <v>12</v>
      </c>
      <c r="G136" s="2" t="s">
        <v>12</v>
      </c>
      <c r="H136" s="4"/>
      <c r="I136" s="2" t="s">
        <v>492</v>
      </c>
      <c r="J136" s="2">
        <v>2021</v>
      </c>
      <c r="K136" s="2" t="s">
        <v>73</v>
      </c>
    </row>
    <row r="137" spans="1:11" ht="20.100000000000001" customHeight="1" x14ac:dyDescent="0.45">
      <c r="A137" s="2" t="s">
        <v>488</v>
      </c>
      <c r="B137" s="3">
        <v>1013595444</v>
      </c>
      <c r="C137" s="2" t="s">
        <v>892</v>
      </c>
      <c r="D137" s="2" t="s">
        <v>893</v>
      </c>
      <c r="E137" s="4" t="s">
        <v>894</v>
      </c>
      <c r="F137" s="2" t="s">
        <v>12</v>
      </c>
      <c r="G137" s="2" t="s">
        <v>12</v>
      </c>
      <c r="H137" s="4"/>
      <c r="I137" s="2" t="s">
        <v>492</v>
      </c>
      <c r="J137" s="2">
        <v>2026</v>
      </c>
      <c r="K137" s="2" t="s">
        <v>73</v>
      </c>
    </row>
    <row r="138" spans="1:11" ht="20.100000000000001" customHeight="1" x14ac:dyDescent="0.45">
      <c r="A138" s="2" t="s">
        <v>488</v>
      </c>
      <c r="B138" s="3">
        <v>1013624154</v>
      </c>
      <c r="C138" s="2" t="s">
        <v>895</v>
      </c>
      <c r="D138" s="2" t="s">
        <v>896</v>
      </c>
      <c r="E138" s="4" t="s">
        <v>897</v>
      </c>
      <c r="F138" s="2" t="s">
        <v>12</v>
      </c>
      <c r="G138" s="2" t="s">
        <v>12</v>
      </c>
      <c r="H138" s="4"/>
      <c r="I138" s="2" t="s">
        <v>492</v>
      </c>
      <c r="J138" s="2">
        <v>2026</v>
      </c>
      <c r="K138" s="2" t="s">
        <v>73</v>
      </c>
    </row>
    <row r="139" spans="1:11" ht="20.100000000000001" customHeight="1" x14ac:dyDescent="0.45">
      <c r="A139" s="2" t="s">
        <v>488</v>
      </c>
      <c r="B139" s="3">
        <v>1013630759</v>
      </c>
      <c r="C139" s="2" t="s">
        <v>898</v>
      </c>
      <c r="D139" s="2" t="s">
        <v>899</v>
      </c>
      <c r="E139" s="4" t="s">
        <v>900</v>
      </c>
      <c r="F139" s="2" t="s">
        <v>12</v>
      </c>
      <c r="G139" s="2" t="s">
        <v>12</v>
      </c>
      <c r="H139" s="4"/>
      <c r="I139" s="2" t="s">
        <v>492</v>
      </c>
      <c r="J139" s="2">
        <v>2021</v>
      </c>
      <c r="K139" s="2" t="s">
        <v>73</v>
      </c>
    </row>
    <row r="140" spans="1:11" ht="20.100000000000001" customHeight="1" x14ac:dyDescent="0.45">
      <c r="A140" s="2" t="s">
        <v>488</v>
      </c>
      <c r="B140" s="3">
        <v>1014212004</v>
      </c>
      <c r="C140" s="2" t="s">
        <v>901</v>
      </c>
      <c r="D140" s="2" t="s">
        <v>902</v>
      </c>
      <c r="E140" s="4" t="s">
        <v>903</v>
      </c>
      <c r="F140" s="2" t="s">
        <v>12</v>
      </c>
      <c r="G140" s="2" t="s">
        <v>12</v>
      </c>
      <c r="H140" s="4"/>
      <c r="I140" s="2" t="s">
        <v>492</v>
      </c>
      <c r="J140" s="2">
        <v>2020</v>
      </c>
      <c r="K140" s="2" t="s">
        <v>73</v>
      </c>
    </row>
    <row r="141" spans="1:11" ht="20.100000000000001" customHeight="1" x14ac:dyDescent="0.45">
      <c r="A141" s="2" t="s">
        <v>488</v>
      </c>
      <c r="B141" s="3">
        <v>1014234044</v>
      </c>
      <c r="C141" s="2" t="s">
        <v>904</v>
      </c>
      <c r="D141" s="2" t="s">
        <v>905</v>
      </c>
      <c r="E141" s="4" t="s">
        <v>906</v>
      </c>
      <c r="F141" s="2" t="s">
        <v>12</v>
      </c>
      <c r="G141" s="2" t="s">
        <v>12</v>
      </c>
      <c r="H141" s="4"/>
      <c r="I141" s="2" t="s">
        <v>492</v>
      </c>
      <c r="J141" s="2">
        <v>2018</v>
      </c>
      <c r="K141" s="2" t="s">
        <v>73</v>
      </c>
    </row>
    <row r="142" spans="1:11" ht="20.100000000000001" customHeight="1" x14ac:dyDescent="0.45">
      <c r="A142" s="2" t="s">
        <v>488</v>
      </c>
      <c r="B142" s="3">
        <v>1014241497</v>
      </c>
      <c r="C142" s="2" t="s">
        <v>907</v>
      </c>
      <c r="D142" s="2" t="s">
        <v>908</v>
      </c>
      <c r="E142" s="4" t="s">
        <v>909</v>
      </c>
      <c r="F142" s="2" t="s">
        <v>12</v>
      </c>
      <c r="G142" s="2" t="s">
        <v>12</v>
      </c>
      <c r="H142" s="4"/>
      <c r="I142" s="2" t="s">
        <v>492</v>
      </c>
      <c r="J142" s="2">
        <v>3708</v>
      </c>
      <c r="K142" s="2" t="s">
        <v>73</v>
      </c>
    </row>
    <row r="143" spans="1:11" ht="20.100000000000001" customHeight="1" x14ac:dyDescent="0.45">
      <c r="A143" s="2" t="s">
        <v>488</v>
      </c>
      <c r="B143" s="3">
        <v>1014259402</v>
      </c>
      <c r="C143" s="2" t="s">
        <v>910</v>
      </c>
      <c r="D143" s="2" t="s">
        <v>911</v>
      </c>
      <c r="E143" s="4" t="s">
        <v>912</v>
      </c>
      <c r="F143" s="2" t="s">
        <v>12</v>
      </c>
      <c r="G143" s="2" t="s">
        <v>12</v>
      </c>
      <c r="H143" s="4"/>
      <c r="I143" s="2" t="s">
        <v>492</v>
      </c>
      <c r="J143" s="2">
        <v>2020</v>
      </c>
      <c r="K143" s="2" t="s">
        <v>73</v>
      </c>
    </row>
    <row r="144" spans="1:11" ht="20.100000000000001" customHeight="1" x14ac:dyDescent="0.45">
      <c r="A144" s="2" t="s">
        <v>488</v>
      </c>
      <c r="B144" s="3">
        <v>1014274291</v>
      </c>
      <c r="C144" s="2" t="s">
        <v>913</v>
      </c>
      <c r="D144" s="2" t="s">
        <v>914</v>
      </c>
      <c r="E144" s="4" t="s">
        <v>915</v>
      </c>
      <c r="F144" s="2" t="s">
        <v>12</v>
      </c>
      <c r="G144" s="2" t="s">
        <v>12</v>
      </c>
      <c r="H144" s="4"/>
      <c r="I144" s="2" t="s">
        <v>492</v>
      </c>
      <c r="J144" s="2">
        <v>2021</v>
      </c>
      <c r="K144" s="2" t="s">
        <v>73</v>
      </c>
    </row>
    <row r="145" spans="1:11" ht="20.100000000000001" customHeight="1" x14ac:dyDescent="0.45">
      <c r="A145" s="2" t="s">
        <v>488</v>
      </c>
      <c r="B145" s="3">
        <v>1014295158</v>
      </c>
      <c r="C145" s="2" t="s">
        <v>916</v>
      </c>
      <c r="D145" s="2" t="s">
        <v>917</v>
      </c>
      <c r="E145" s="4" t="s">
        <v>918</v>
      </c>
      <c r="F145" s="2" t="s">
        <v>12</v>
      </c>
      <c r="G145" s="2" t="s">
        <v>12</v>
      </c>
      <c r="H145" s="4"/>
      <c r="I145" s="2" t="s">
        <v>492</v>
      </c>
      <c r="J145" s="2">
        <v>2022</v>
      </c>
      <c r="K145" s="2" t="s">
        <v>73</v>
      </c>
    </row>
    <row r="146" spans="1:11" ht="20.100000000000001" customHeight="1" x14ac:dyDescent="0.45">
      <c r="A146" s="2" t="s">
        <v>488</v>
      </c>
      <c r="B146" s="3">
        <v>1014308323</v>
      </c>
      <c r="C146" s="2" t="s">
        <v>919</v>
      </c>
      <c r="D146" s="2" t="s">
        <v>920</v>
      </c>
      <c r="E146" s="4" t="s">
        <v>921</v>
      </c>
      <c r="F146" s="2" t="s">
        <v>12</v>
      </c>
      <c r="G146" s="2" t="s">
        <v>12</v>
      </c>
      <c r="H146" s="4"/>
      <c r="I146" s="2" t="s">
        <v>492</v>
      </c>
      <c r="J146" s="2">
        <v>2021</v>
      </c>
      <c r="K146" s="2" t="s">
        <v>73</v>
      </c>
    </row>
    <row r="147" spans="1:11" ht="20.100000000000001" customHeight="1" x14ac:dyDescent="0.45">
      <c r="A147" s="2" t="s">
        <v>488</v>
      </c>
      <c r="B147" s="3">
        <v>1015410531</v>
      </c>
      <c r="C147" s="2" t="s">
        <v>922</v>
      </c>
      <c r="D147" s="2" t="s">
        <v>527</v>
      </c>
      <c r="E147" s="4" t="s">
        <v>527</v>
      </c>
      <c r="F147" s="2" t="s">
        <v>12</v>
      </c>
      <c r="G147" s="2" t="s">
        <v>12</v>
      </c>
      <c r="H147" s="4"/>
      <c r="I147" s="2" t="s">
        <v>492</v>
      </c>
      <c r="J147" s="2">
        <v>2021</v>
      </c>
      <c r="K147" s="2" t="s">
        <v>73</v>
      </c>
    </row>
    <row r="148" spans="1:11" ht="20.100000000000001" customHeight="1" x14ac:dyDescent="0.45">
      <c r="A148" s="2" t="s">
        <v>488</v>
      </c>
      <c r="B148" s="3">
        <v>1015437394</v>
      </c>
      <c r="C148" s="2" t="s">
        <v>923</v>
      </c>
      <c r="D148" s="2" t="s">
        <v>924</v>
      </c>
      <c r="E148" s="4" t="s">
        <v>925</v>
      </c>
      <c r="F148" s="2" t="s">
        <v>12</v>
      </c>
      <c r="G148" s="2" t="s">
        <v>12</v>
      </c>
      <c r="H148" s="4"/>
      <c r="I148" s="2" t="s">
        <v>492</v>
      </c>
      <c r="J148" s="2">
        <v>2020</v>
      </c>
      <c r="K148" s="2" t="s">
        <v>73</v>
      </c>
    </row>
    <row r="149" spans="1:11" ht="20.100000000000001" customHeight="1" x14ac:dyDescent="0.45">
      <c r="A149" s="2" t="s">
        <v>488</v>
      </c>
      <c r="B149" s="3">
        <v>1015456201</v>
      </c>
      <c r="C149" s="2" t="s">
        <v>926</v>
      </c>
      <c r="D149" s="2" t="s">
        <v>927</v>
      </c>
      <c r="E149" s="4" t="s">
        <v>928</v>
      </c>
      <c r="F149" s="2" t="s">
        <v>12</v>
      </c>
      <c r="G149" s="2" t="s">
        <v>12</v>
      </c>
      <c r="H149" s="4"/>
      <c r="I149" s="2" t="s">
        <v>492</v>
      </c>
      <c r="J149" s="2">
        <v>2023</v>
      </c>
      <c r="K149" s="2" t="s">
        <v>73</v>
      </c>
    </row>
    <row r="150" spans="1:11" ht="20.100000000000001" customHeight="1" x14ac:dyDescent="0.45">
      <c r="A150" s="2" t="s">
        <v>488</v>
      </c>
      <c r="B150" s="3">
        <v>1015474725</v>
      </c>
      <c r="C150" s="2" t="s">
        <v>929</v>
      </c>
      <c r="D150" s="2" t="s">
        <v>930</v>
      </c>
      <c r="E150" s="4" t="s">
        <v>931</v>
      </c>
      <c r="F150" s="2" t="s">
        <v>12</v>
      </c>
      <c r="G150" s="2" t="s">
        <v>12</v>
      </c>
      <c r="H150" s="4"/>
      <c r="I150" s="2" t="s">
        <v>492</v>
      </c>
      <c r="J150" s="2">
        <v>2026</v>
      </c>
      <c r="K150" s="2" t="s">
        <v>73</v>
      </c>
    </row>
    <row r="151" spans="1:11" ht="20.100000000000001" customHeight="1" x14ac:dyDescent="0.45">
      <c r="A151" s="2" t="s">
        <v>488</v>
      </c>
      <c r="B151" s="3">
        <v>1016053018</v>
      </c>
      <c r="C151" s="2" t="s">
        <v>932</v>
      </c>
      <c r="D151" s="2" t="s">
        <v>933</v>
      </c>
      <c r="E151" s="4" t="s">
        <v>934</v>
      </c>
      <c r="F151" s="2" t="s">
        <v>12</v>
      </c>
      <c r="G151" s="2" t="s">
        <v>12</v>
      </c>
      <c r="H151" s="4"/>
      <c r="I151" s="2" t="s">
        <v>492</v>
      </c>
      <c r="J151" s="2">
        <v>2023</v>
      </c>
      <c r="K151" s="2" t="s">
        <v>73</v>
      </c>
    </row>
    <row r="152" spans="1:11" ht="20.100000000000001" customHeight="1" x14ac:dyDescent="0.45">
      <c r="A152" s="2" t="s">
        <v>488</v>
      </c>
      <c r="B152" s="3">
        <v>1016071262</v>
      </c>
      <c r="C152" s="2" t="s">
        <v>935</v>
      </c>
      <c r="D152" s="2" t="s">
        <v>936</v>
      </c>
      <c r="E152" s="4" t="s">
        <v>937</v>
      </c>
      <c r="F152" s="2" t="s">
        <v>12</v>
      </c>
      <c r="G152" s="2" t="s">
        <v>12</v>
      </c>
      <c r="H152" s="4"/>
      <c r="I152" s="2" t="s">
        <v>492</v>
      </c>
      <c r="J152" s="2">
        <v>2021</v>
      </c>
      <c r="K152" s="2" t="s">
        <v>73</v>
      </c>
    </row>
    <row r="153" spans="1:11" ht="20.100000000000001" customHeight="1" x14ac:dyDescent="0.45">
      <c r="A153" s="2" t="s">
        <v>488</v>
      </c>
      <c r="B153" s="3">
        <v>1016113511</v>
      </c>
      <c r="C153" s="2" t="s">
        <v>938</v>
      </c>
      <c r="D153" s="2" t="s">
        <v>939</v>
      </c>
      <c r="E153" s="4" t="s">
        <v>940</v>
      </c>
      <c r="F153" s="2" t="s">
        <v>12</v>
      </c>
      <c r="G153" s="2" t="s">
        <v>12</v>
      </c>
      <c r="H153" s="4"/>
      <c r="I153" s="2" t="s">
        <v>492</v>
      </c>
      <c r="J153" s="2">
        <v>2020</v>
      </c>
      <c r="K153" s="2" t="s">
        <v>73</v>
      </c>
    </row>
    <row r="154" spans="1:11" ht="20.100000000000001" customHeight="1" x14ac:dyDescent="0.45">
      <c r="A154" s="2" t="s">
        <v>488</v>
      </c>
      <c r="B154" s="3">
        <v>1016951876</v>
      </c>
      <c r="C154" s="2" t="s">
        <v>941</v>
      </c>
      <c r="D154" s="2" t="s">
        <v>942</v>
      </c>
      <c r="E154" s="4" t="s">
        <v>943</v>
      </c>
      <c r="F154" s="2" t="s">
        <v>12</v>
      </c>
      <c r="G154" s="2" t="s">
        <v>12</v>
      </c>
      <c r="H154" s="4"/>
      <c r="I154" s="2" t="s">
        <v>492</v>
      </c>
      <c r="J154" s="2">
        <v>2024</v>
      </c>
      <c r="K154" s="2" t="s">
        <v>73</v>
      </c>
    </row>
    <row r="155" spans="1:11" ht="20.100000000000001" customHeight="1" x14ac:dyDescent="0.45">
      <c r="A155" s="2" t="s">
        <v>488</v>
      </c>
      <c r="B155" s="3">
        <v>1018410280</v>
      </c>
      <c r="C155" s="2" t="s">
        <v>944</v>
      </c>
      <c r="D155" s="2" t="s">
        <v>945</v>
      </c>
      <c r="E155" s="4" t="s">
        <v>946</v>
      </c>
      <c r="F155" s="2" t="s">
        <v>12</v>
      </c>
      <c r="G155" s="2" t="s">
        <v>12</v>
      </c>
      <c r="H155" s="4"/>
      <c r="I155" s="2" t="s">
        <v>492</v>
      </c>
      <c r="J155" s="2">
        <v>2018</v>
      </c>
      <c r="K155" s="2" t="s">
        <v>73</v>
      </c>
    </row>
    <row r="156" spans="1:11" ht="20.100000000000001" customHeight="1" x14ac:dyDescent="0.45">
      <c r="A156" s="2" t="s">
        <v>488</v>
      </c>
      <c r="B156" s="3">
        <v>1018437562</v>
      </c>
      <c r="C156" s="2" t="s">
        <v>947</v>
      </c>
      <c r="D156" s="2" t="s">
        <v>948</v>
      </c>
      <c r="E156" s="4" t="s">
        <v>949</v>
      </c>
      <c r="F156" s="2" t="s">
        <v>12</v>
      </c>
      <c r="G156" s="2" t="s">
        <v>12</v>
      </c>
      <c r="H156" s="4"/>
      <c r="I156" s="2" t="s">
        <v>492</v>
      </c>
      <c r="J156" s="2">
        <v>2018</v>
      </c>
      <c r="K156" s="2" t="s">
        <v>73</v>
      </c>
    </row>
    <row r="157" spans="1:11" ht="20.100000000000001" customHeight="1" x14ac:dyDescent="0.45">
      <c r="A157" s="2" t="s">
        <v>488</v>
      </c>
      <c r="B157" s="3">
        <v>1018449780</v>
      </c>
      <c r="C157" s="2" t="s">
        <v>950</v>
      </c>
      <c r="D157" s="2" t="s">
        <v>951</v>
      </c>
      <c r="E157" s="4" t="s">
        <v>952</v>
      </c>
      <c r="F157" s="2" t="s">
        <v>12</v>
      </c>
      <c r="G157" s="2" t="s">
        <v>12</v>
      </c>
      <c r="H157" s="4"/>
      <c r="I157" s="2" t="s">
        <v>492</v>
      </c>
      <c r="J157" s="2">
        <v>2021</v>
      </c>
      <c r="K157" s="2" t="s">
        <v>73</v>
      </c>
    </row>
    <row r="158" spans="1:11" ht="20.100000000000001" customHeight="1" x14ac:dyDescent="0.45">
      <c r="A158" s="2" t="s">
        <v>488</v>
      </c>
      <c r="B158" s="3">
        <v>1018494723</v>
      </c>
      <c r="C158" s="2" t="s">
        <v>953</v>
      </c>
      <c r="D158" s="2" t="s">
        <v>954</v>
      </c>
      <c r="E158" s="4" t="s">
        <v>955</v>
      </c>
      <c r="F158" s="2" t="s">
        <v>12</v>
      </c>
      <c r="G158" s="2" t="s">
        <v>12</v>
      </c>
      <c r="H158" s="4"/>
      <c r="I158" s="2" t="s">
        <v>492</v>
      </c>
      <c r="J158" s="2">
        <v>2020</v>
      </c>
      <c r="K158" s="2" t="s">
        <v>73</v>
      </c>
    </row>
    <row r="159" spans="1:11" ht="20.100000000000001" customHeight="1" x14ac:dyDescent="0.45">
      <c r="A159" s="2" t="s">
        <v>488</v>
      </c>
      <c r="B159" s="3">
        <v>1018513915</v>
      </c>
      <c r="C159" s="2" t="s">
        <v>956</v>
      </c>
      <c r="D159" s="2" t="s">
        <v>957</v>
      </c>
      <c r="E159" s="4" t="s">
        <v>958</v>
      </c>
      <c r="F159" s="2" t="s">
        <v>12</v>
      </c>
      <c r="G159" s="2" t="s">
        <v>12</v>
      </c>
      <c r="H159" s="4"/>
      <c r="I159" s="2" t="s">
        <v>492</v>
      </c>
      <c r="J159" s="2">
        <v>2018</v>
      </c>
      <c r="K159" s="2" t="s">
        <v>73</v>
      </c>
    </row>
    <row r="160" spans="1:11" ht="20.100000000000001" customHeight="1" x14ac:dyDescent="0.45">
      <c r="A160" s="2" t="s">
        <v>488</v>
      </c>
      <c r="B160" s="3">
        <v>1019018733</v>
      </c>
      <c r="C160" s="2" t="s">
        <v>959</v>
      </c>
      <c r="D160" s="2" t="s">
        <v>960</v>
      </c>
      <c r="E160" s="4" t="s">
        <v>961</v>
      </c>
      <c r="F160" s="2" t="s">
        <v>12</v>
      </c>
      <c r="G160" s="2" t="s">
        <v>12</v>
      </c>
      <c r="H160" s="4"/>
      <c r="I160" s="2" t="s">
        <v>492</v>
      </c>
      <c r="J160" s="2">
        <v>2241</v>
      </c>
      <c r="K160" s="2" t="s">
        <v>73</v>
      </c>
    </row>
    <row r="161" spans="1:11" ht="20.100000000000001" customHeight="1" x14ac:dyDescent="0.45">
      <c r="A161" s="2" t="s">
        <v>488</v>
      </c>
      <c r="B161" s="3">
        <v>1019047471</v>
      </c>
      <c r="C161" s="2" t="s">
        <v>962</v>
      </c>
      <c r="D161" s="2" t="s">
        <v>963</v>
      </c>
      <c r="E161" s="4" t="s">
        <v>964</v>
      </c>
      <c r="F161" s="2" t="s">
        <v>12</v>
      </c>
      <c r="G161" s="2" t="s">
        <v>12</v>
      </c>
      <c r="H161" s="4"/>
      <c r="I161" s="2" t="s">
        <v>492</v>
      </c>
      <c r="J161" s="2">
        <v>2021</v>
      </c>
      <c r="K161" s="2" t="s">
        <v>73</v>
      </c>
    </row>
    <row r="162" spans="1:11" ht="20.100000000000001" customHeight="1" x14ac:dyDescent="0.45">
      <c r="A162" s="2" t="s">
        <v>488</v>
      </c>
      <c r="B162" s="3">
        <v>1019077887</v>
      </c>
      <c r="C162" s="2" t="s">
        <v>965</v>
      </c>
      <c r="D162" s="2" t="s">
        <v>966</v>
      </c>
      <c r="E162" s="4" t="s">
        <v>967</v>
      </c>
      <c r="F162" s="2" t="s">
        <v>12</v>
      </c>
      <c r="G162" s="2" t="s">
        <v>12</v>
      </c>
      <c r="H162" s="4"/>
      <c r="I162" s="2" t="s">
        <v>492</v>
      </c>
      <c r="J162" s="2">
        <v>2020</v>
      </c>
      <c r="K162" s="2" t="s">
        <v>73</v>
      </c>
    </row>
    <row r="163" spans="1:11" ht="20.100000000000001" customHeight="1" x14ac:dyDescent="0.45">
      <c r="A163" s="2" t="s">
        <v>488</v>
      </c>
      <c r="B163" s="3">
        <v>1019100190</v>
      </c>
      <c r="C163" s="2" t="s">
        <v>968</v>
      </c>
      <c r="D163" s="2" t="s">
        <v>969</v>
      </c>
      <c r="E163" s="4" t="s">
        <v>970</v>
      </c>
      <c r="F163" s="2" t="s">
        <v>12</v>
      </c>
      <c r="G163" s="2" t="s">
        <v>12</v>
      </c>
      <c r="H163" s="4"/>
      <c r="I163" s="2" t="s">
        <v>492</v>
      </c>
      <c r="J163" s="2">
        <v>2020</v>
      </c>
      <c r="K163" s="2" t="s">
        <v>73</v>
      </c>
    </row>
    <row r="164" spans="1:11" ht="20.100000000000001" customHeight="1" x14ac:dyDescent="0.45">
      <c r="A164" s="2" t="s">
        <v>488</v>
      </c>
      <c r="B164" s="3">
        <v>1019114815</v>
      </c>
      <c r="C164" s="2" t="s">
        <v>971</v>
      </c>
      <c r="D164" s="2" t="s">
        <v>972</v>
      </c>
      <c r="E164" s="4" t="s">
        <v>973</v>
      </c>
      <c r="F164" s="2" t="s">
        <v>12</v>
      </c>
      <c r="G164" s="2" t="s">
        <v>12</v>
      </c>
      <c r="H164" s="4"/>
      <c r="I164" s="2" t="s">
        <v>492</v>
      </c>
      <c r="J164" s="2">
        <v>2021</v>
      </c>
      <c r="K164" s="2" t="s">
        <v>73</v>
      </c>
    </row>
    <row r="165" spans="1:11" ht="20.100000000000001" customHeight="1" x14ac:dyDescent="0.45">
      <c r="A165" s="2" t="s">
        <v>488</v>
      </c>
      <c r="B165" s="3">
        <v>1019118387</v>
      </c>
      <c r="C165" s="2" t="s">
        <v>974</v>
      </c>
      <c r="D165" s="2" t="s">
        <v>975</v>
      </c>
      <c r="E165" s="4" t="s">
        <v>976</v>
      </c>
      <c r="F165" s="2" t="s">
        <v>12</v>
      </c>
      <c r="G165" s="2" t="s">
        <v>12</v>
      </c>
      <c r="H165" s="4"/>
      <c r="I165" s="2" t="s">
        <v>492</v>
      </c>
      <c r="J165" s="2">
        <v>2022</v>
      </c>
      <c r="K165" s="2" t="s">
        <v>73</v>
      </c>
    </row>
    <row r="166" spans="1:11" ht="20.100000000000001" customHeight="1" x14ac:dyDescent="0.45">
      <c r="A166" s="2" t="s">
        <v>488</v>
      </c>
      <c r="B166" s="3">
        <v>1019118458</v>
      </c>
      <c r="C166" s="2" t="s">
        <v>977</v>
      </c>
      <c r="D166" s="2" t="s">
        <v>978</v>
      </c>
      <c r="E166" s="4" t="s">
        <v>979</v>
      </c>
      <c r="F166" s="2" t="s">
        <v>12</v>
      </c>
      <c r="G166" s="2" t="s">
        <v>12</v>
      </c>
      <c r="H166" s="4"/>
      <c r="I166" s="2" t="s">
        <v>492</v>
      </c>
      <c r="J166" s="2">
        <v>2021</v>
      </c>
      <c r="K166" s="2" t="s">
        <v>73</v>
      </c>
    </row>
    <row r="167" spans="1:11" ht="20.100000000000001" customHeight="1" x14ac:dyDescent="0.45">
      <c r="A167" s="2" t="s">
        <v>488</v>
      </c>
      <c r="B167" s="3">
        <v>1019124283</v>
      </c>
      <c r="C167" s="2" t="s">
        <v>980</v>
      </c>
      <c r="D167" s="2" t="s">
        <v>981</v>
      </c>
      <c r="E167" s="4" t="s">
        <v>982</v>
      </c>
      <c r="F167" s="2" t="s">
        <v>12</v>
      </c>
      <c r="G167" s="2" t="s">
        <v>12</v>
      </c>
      <c r="H167" s="4"/>
      <c r="I167" s="2" t="s">
        <v>492</v>
      </c>
      <c r="J167" s="2">
        <v>2018</v>
      </c>
      <c r="K167" s="2" t="s">
        <v>73</v>
      </c>
    </row>
    <row r="168" spans="1:11" ht="20.100000000000001" customHeight="1" x14ac:dyDescent="0.45">
      <c r="A168" s="2" t="s">
        <v>488</v>
      </c>
      <c r="B168" s="3">
        <v>1019155546</v>
      </c>
      <c r="C168" s="2" t="s">
        <v>983</v>
      </c>
      <c r="D168" s="2" t="s">
        <v>984</v>
      </c>
      <c r="E168" s="4" t="s">
        <v>985</v>
      </c>
      <c r="F168" s="2" t="s">
        <v>12</v>
      </c>
      <c r="G168" s="2" t="s">
        <v>12</v>
      </c>
      <c r="H168" s="4"/>
      <c r="I168" s="2" t="s">
        <v>492</v>
      </c>
      <c r="J168" s="2">
        <v>2020</v>
      </c>
      <c r="K168" s="2" t="s">
        <v>73</v>
      </c>
    </row>
    <row r="169" spans="1:11" ht="20.100000000000001" customHeight="1" x14ac:dyDescent="0.45">
      <c r="A169" s="2" t="s">
        <v>488</v>
      </c>
      <c r="B169" s="3">
        <v>1019155792</v>
      </c>
      <c r="C169" s="2" t="s">
        <v>986</v>
      </c>
      <c r="D169" s="2" t="s">
        <v>987</v>
      </c>
      <c r="E169" s="4" t="s">
        <v>988</v>
      </c>
      <c r="F169" s="2" t="s">
        <v>12</v>
      </c>
      <c r="G169" s="2" t="s">
        <v>12</v>
      </c>
      <c r="H169" s="4"/>
      <c r="I169" s="2" t="s">
        <v>492</v>
      </c>
      <c r="J169" s="2">
        <v>2241</v>
      </c>
      <c r="K169" s="2" t="s">
        <v>73</v>
      </c>
    </row>
    <row r="170" spans="1:11" ht="20.100000000000001" customHeight="1" x14ac:dyDescent="0.45">
      <c r="A170" s="2" t="s">
        <v>488</v>
      </c>
      <c r="B170" s="3">
        <v>1019603322</v>
      </c>
      <c r="C170" s="2" t="s">
        <v>989</v>
      </c>
      <c r="D170" s="2" t="s">
        <v>990</v>
      </c>
      <c r="E170" s="4" t="s">
        <v>991</v>
      </c>
      <c r="F170" s="2" t="s">
        <v>12</v>
      </c>
      <c r="G170" s="2" t="s">
        <v>12</v>
      </c>
      <c r="H170" s="4"/>
      <c r="I170" s="2" t="s">
        <v>492</v>
      </c>
      <c r="J170" s="2">
        <v>2022</v>
      </c>
      <c r="K170" s="2" t="s">
        <v>73</v>
      </c>
    </row>
    <row r="171" spans="1:11" ht="20.100000000000001" customHeight="1" x14ac:dyDescent="0.45">
      <c r="A171" s="2" t="s">
        <v>488</v>
      </c>
      <c r="B171" s="3">
        <v>1019988293</v>
      </c>
      <c r="C171" s="2" t="s">
        <v>992</v>
      </c>
      <c r="D171" s="2" t="s">
        <v>993</v>
      </c>
      <c r="E171" s="4" t="s">
        <v>994</v>
      </c>
      <c r="F171" s="2" t="s">
        <v>12</v>
      </c>
      <c r="G171" s="2" t="s">
        <v>12</v>
      </c>
      <c r="H171" s="4"/>
      <c r="I171" s="2" t="s">
        <v>492</v>
      </c>
      <c r="J171" s="2">
        <v>2020</v>
      </c>
      <c r="K171" s="2" t="s">
        <v>73</v>
      </c>
    </row>
    <row r="172" spans="1:11" ht="20.100000000000001" customHeight="1" x14ac:dyDescent="0.45">
      <c r="A172" s="2" t="s">
        <v>488</v>
      </c>
      <c r="B172" s="3">
        <v>1020737142</v>
      </c>
      <c r="C172" s="2" t="s">
        <v>995</v>
      </c>
      <c r="D172" s="2" t="s">
        <v>996</v>
      </c>
      <c r="E172" s="4" t="s">
        <v>997</v>
      </c>
      <c r="F172" s="2" t="s">
        <v>12</v>
      </c>
      <c r="G172" s="2" t="s">
        <v>12</v>
      </c>
      <c r="H172" s="4"/>
      <c r="I172" s="2" t="s">
        <v>492</v>
      </c>
      <c r="J172" s="2">
        <v>2241</v>
      </c>
      <c r="K172" s="2" t="s">
        <v>73</v>
      </c>
    </row>
    <row r="173" spans="1:11" ht="20.100000000000001" customHeight="1" x14ac:dyDescent="0.45">
      <c r="A173" s="2" t="s">
        <v>488</v>
      </c>
      <c r="B173" s="3">
        <v>1020755437</v>
      </c>
      <c r="C173" s="2" t="s">
        <v>998</v>
      </c>
      <c r="D173" s="2" t="s">
        <v>999</v>
      </c>
      <c r="E173" s="4" t="s">
        <v>1000</v>
      </c>
      <c r="F173" s="2" t="s">
        <v>12</v>
      </c>
      <c r="G173" s="2" t="s">
        <v>12</v>
      </c>
      <c r="H173" s="4"/>
      <c r="I173" s="2" t="s">
        <v>492</v>
      </c>
      <c r="J173" s="2">
        <v>2021</v>
      </c>
      <c r="K173" s="2" t="s">
        <v>73</v>
      </c>
    </row>
    <row r="174" spans="1:11" ht="20.100000000000001" customHeight="1" x14ac:dyDescent="0.45">
      <c r="A174" s="2" t="s">
        <v>488</v>
      </c>
      <c r="B174" s="3">
        <v>1020816666</v>
      </c>
      <c r="C174" s="2" t="s">
        <v>1001</v>
      </c>
      <c r="D174" s="2" t="s">
        <v>1002</v>
      </c>
      <c r="E174" s="4" t="s">
        <v>1003</v>
      </c>
      <c r="F174" s="2" t="s">
        <v>12</v>
      </c>
      <c r="G174" s="2" t="s">
        <v>12</v>
      </c>
      <c r="H174" s="4"/>
      <c r="I174" s="2" t="s">
        <v>492</v>
      </c>
      <c r="J174" s="2">
        <v>3156</v>
      </c>
      <c r="K174" s="2" t="s">
        <v>73</v>
      </c>
    </row>
    <row r="175" spans="1:11" ht="20.100000000000001" customHeight="1" x14ac:dyDescent="0.45">
      <c r="A175" s="2" t="s">
        <v>488</v>
      </c>
      <c r="B175" s="3">
        <v>1022322950</v>
      </c>
      <c r="C175" s="2" t="s">
        <v>1004</v>
      </c>
      <c r="D175" s="2" t="s">
        <v>1005</v>
      </c>
      <c r="E175" s="4" t="s">
        <v>1006</v>
      </c>
      <c r="F175" s="2" t="s">
        <v>12</v>
      </c>
      <c r="G175" s="2" t="s">
        <v>12</v>
      </c>
      <c r="H175" s="4"/>
      <c r="I175" s="2" t="s">
        <v>492</v>
      </c>
      <c r="J175" s="2">
        <v>2021</v>
      </c>
      <c r="K175" s="2" t="s">
        <v>73</v>
      </c>
    </row>
    <row r="176" spans="1:11" ht="20.100000000000001" customHeight="1" x14ac:dyDescent="0.45">
      <c r="A176" s="2" t="s">
        <v>488</v>
      </c>
      <c r="B176" s="3">
        <v>1022392525</v>
      </c>
      <c r="C176" s="2" t="s">
        <v>1007</v>
      </c>
      <c r="D176" s="2" t="s">
        <v>1008</v>
      </c>
      <c r="E176" s="4" t="s">
        <v>1009</v>
      </c>
      <c r="F176" s="2" t="s">
        <v>12</v>
      </c>
      <c r="G176" s="2" t="s">
        <v>12</v>
      </c>
      <c r="H176" s="4"/>
      <c r="I176" s="2" t="s">
        <v>492</v>
      </c>
      <c r="J176" s="2">
        <v>2026</v>
      </c>
      <c r="K176" s="2" t="s">
        <v>73</v>
      </c>
    </row>
    <row r="177" spans="1:11" ht="20.100000000000001" customHeight="1" x14ac:dyDescent="0.45">
      <c r="A177" s="2" t="s">
        <v>488</v>
      </c>
      <c r="B177" s="3">
        <v>1022949096</v>
      </c>
      <c r="C177" s="2" t="s">
        <v>1010</v>
      </c>
      <c r="D177" s="2" t="s">
        <v>1011</v>
      </c>
      <c r="E177" s="4" t="s">
        <v>1012</v>
      </c>
      <c r="F177" s="2" t="s">
        <v>12</v>
      </c>
      <c r="G177" s="2" t="s">
        <v>12</v>
      </c>
      <c r="H177" s="4"/>
      <c r="I177" s="2" t="s">
        <v>492</v>
      </c>
      <c r="J177" s="2">
        <v>2021</v>
      </c>
      <c r="K177" s="2" t="s">
        <v>73</v>
      </c>
    </row>
    <row r="178" spans="1:11" ht="20.100000000000001" customHeight="1" x14ac:dyDescent="0.45">
      <c r="A178" s="2" t="s">
        <v>488</v>
      </c>
      <c r="B178" s="3">
        <v>1022961723</v>
      </c>
      <c r="C178" s="2" t="s">
        <v>1013</v>
      </c>
      <c r="D178" s="2" t="s">
        <v>527</v>
      </c>
      <c r="E178" s="4" t="s">
        <v>1014</v>
      </c>
      <c r="F178" s="2" t="s">
        <v>12</v>
      </c>
      <c r="G178" s="2" t="s">
        <v>12</v>
      </c>
      <c r="H178" s="4"/>
      <c r="I178" s="2" t="s">
        <v>492</v>
      </c>
      <c r="J178" s="2">
        <v>2020</v>
      </c>
      <c r="K178" s="2" t="s">
        <v>73</v>
      </c>
    </row>
    <row r="179" spans="1:11" ht="20.100000000000001" customHeight="1" x14ac:dyDescent="0.45">
      <c r="A179" s="2" t="s">
        <v>488</v>
      </c>
      <c r="B179" s="3">
        <v>1022964089</v>
      </c>
      <c r="C179" s="2" t="s">
        <v>1015</v>
      </c>
      <c r="D179" s="2" t="s">
        <v>1016</v>
      </c>
      <c r="E179" s="4" t="s">
        <v>1017</v>
      </c>
      <c r="F179" s="2" t="s">
        <v>12</v>
      </c>
      <c r="G179" s="2" t="s">
        <v>12</v>
      </c>
      <c r="H179" s="4"/>
      <c r="I179" s="2" t="s">
        <v>492</v>
      </c>
      <c r="J179" s="2">
        <v>2020</v>
      </c>
      <c r="K179" s="2" t="s">
        <v>73</v>
      </c>
    </row>
    <row r="180" spans="1:11" ht="20.100000000000001" customHeight="1" x14ac:dyDescent="0.45">
      <c r="A180" s="2" t="s">
        <v>488</v>
      </c>
      <c r="B180" s="3">
        <v>1023928378</v>
      </c>
      <c r="C180" s="2" t="s">
        <v>1018</v>
      </c>
      <c r="D180" s="2" t="s">
        <v>1019</v>
      </c>
      <c r="E180" s="4" t="s">
        <v>1020</v>
      </c>
      <c r="F180" s="2" t="s">
        <v>12</v>
      </c>
      <c r="G180" s="2" t="s">
        <v>12</v>
      </c>
      <c r="H180" s="4"/>
      <c r="I180" s="2" t="s">
        <v>492</v>
      </c>
      <c r="J180" s="2">
        <v>2241</v>
      </c>
      <c r="K180" s="2" t="s">
        <v>73</v>
      </c>
    </row>
    <row r="181" spans="1:11" ht="20.100000000000001" customHeight="1" x14ac:dyDescent="0.45">
      <c r="A181" s="2" t="s">
        <v>488</v>
      </c>
      <c r="B181" s="3">
        <v>1024523393</v>
      </c>
      <c r="C181" s="2" t="s">
        <v>1021</v>
      </c>
      <c r="D181" s="2" t="s">
        <v>1022</v>
      </c>
      <c r="E181" s="4" t="s">
        <v>1023</v>
      </c>
      <c r="F181" s="2" t="s">
        <v>12</v>
      </c>
      <c r="G181" s="2" t="s">
        <v>12</v>
      </c>
      <c r="H181" s="4"/>
      <c r="I181" s="2" t="s">
        <v>492</v>
      </c>
      <c r="J181" s="2">
        <v>2023</v>
      </c>
      <c r="K181" s="2" t="s">
        <v>73</v>
      </c>
    </row>
    <row r="182" spans="1:11" ht="20.100000000000001" customHeight="1" x14ac:dyDescent="0.45">
      <c r="A182" s="2" t="s">
        <v>488</v>
      </c>
      <c r="B182" s="3">
        <v>1024523780</v>
      </c>
      <c r="C182" s="2" t="s">
        <v>1945</v>
      </c>
      <c r="D182" s="2" t="s">
        <v>1024</v>
      </c>
      <c r="E182" s="4" t="s">
        <v>1025</v>
      </c>
      <c r="F182" s="2" t="s">
        <v>12</v>
      </c>
      <c r="G182" s="2" t="s">
        <v>12</v>
      </c>
      <c r="H182" s="4"/>
      <c r="I182" s="2" t="s">
        <v>492</v>
      </c>
      <c r="J182" s="2">
        <v>2021</v>
      </c>
      <c r="K182" s="2" t="s">
        <v>73</v>
      </c>
    </row>
    <row r="183" spans="1:11" ht="20.100000000000001" customHeight="1" x14ac:dyDescent="0.45">
      <c r="A183" s="2" t="s">
        <v>488</v>
      </c>
      <c r="B183" s="3">
        <v>1024530726</v>
      </c>
      <c r="C183" s="2" t="s">
        <v>1946</v>
      </c>
      <c r="D183" s="2" t="s">
        <v>1026</v>
      </c>
      <c r="E183" s="4" t="s">
        <v>1027</v>
      </c>
      <c r="F183" s="2" t="s">
        <v>12</v>
      </c>
      <c r="G183" s="2" t="s">
        <v>12</v>
      </c>
      <c r="H183" s="4"/>
      <c r="I183" s="2" t="s">
        <v>492</v>
      </c>
      <c r="J183" s="2">
        <v>2241</v>
      </c>
      <c r="K183" s="2" t="s">
        <v>73</v>
      </c>
    </row>
    <row r="184" spans="1:11" ht="20.100000000000001" customHeight="1" x14ac:dyDescent="0.45">
      <c r="A184" s="2" t="s">
        <v>488</v>
      </c>
      <c r="B184" s="3">
        <v>1024532563</v>
      </c>
      <c r="C184" s="2" t="s">
        <v>1947</v>
      </c>
      <c r="D184" s="2" t="s">
        <v>1028</v>
      </c>
      <c r="E184" s="4" t="s">
        <v>1029</v>
      </c>
      <c r="F184" s="2" t="s">
        <v>12</v>
      </c>
      <c r="G184" s="2" t="s">
        <v>12</v>
      </c>
      <c r="H184" s="4"/>
      <c r="I184" s="2" t="s">
        <v>492</v>
      </c>
      <c r="J184" s="2">
        <v>2028</v>
      </c>
      <c r="K184" s="2" t="s">
        <v>73</v>
      </c>
    </row>
    <row r="185" spans="1:11" ht="20.100000000000001" customHeight="1" x14ac:dyDescent="0.45">
      <c r="A185" s="2" t="s">
        <v>488</v>
      </c>
      <c r="B185" s="3">
        <v>1024570556</v>
      </c>
      <c r="C185" s="2" t="s">
        <v>1030</v>
      </c>
      <c r="D185" s="2" t="s">
        <v>1031</v>
      </c>
      <c r="E185" s="4" t="s">
        <v>1032</v>
      </c>
      <c r="F185" s="2" t="s">
        <v>12</v>
      </c>
      <c r="G185" s="2" t="s">
        <v>12</v>
      </c>
      <c r="H185" s="4"/>
      <c r="I185" s="2" t="s">
        <v>492</v>
      </c>
      <c r="J185" s="2">
        <v>2022</v>
      </c>
      <c r="K185" s="2" t="s">
        <v>73</v>
      </c>
    </row>
    <row r="186" spans="1:11" ht="20.100000000000001" customHeight="1" x14ac:dyDescent="0.45">
      <c r="A186" s="2" t="s">
        <v>488</v>
      </c>
      <c r="B186" s="3">
        <v>1026255909</v>
      </c>
      <c r="C186" s="2" t="s">
        <v>1033</v>
      </c>
      <c r="D186" s="2" t="s">
        <v>1034</v>
      </c>
      <c r="E186" s="4" t="s">
        <v>1035</v>
      </c>
      <c r="F186" s="2" t="s">
        <v>12</v>
      </c>
      <c r="G186" s="2" t="s">
        <v>12</v>
      </c>
      <c r="H186" s="4"/>
      <c r="I186" s="2" t="s">
        <v>492</v>
      </c>
      <c r="J186" s="2">
        <v>2021</v>
      </c>
      <c r="K186" s="2" t="s">
        <v>73</v>
      </c>
    </row>
    <row r="187" spans="1:11" ht="20.100000000000001" customHeight="1" x14ac:dyDescent="0.45">
      <c r="A187" s="2" t="s">
        <v>488</v>
      </c>
      <c r="B187" s="3">
        <v>1026291300</v>
      </c>
      <c r="C187" s="2" t="s">
        <v>1036</v>
      </c>
      <c r="D187" s="2" t="s">
        <v>1037</v>
      </c>
      <c r="E187" s="4" t="s">
        <v>1038</v>
      </c>
      <c r="F187" s="2" t="s">
        <v>12</v>
      </c>
      <c r="G187" s="2" t="s">
        <v>12</v>
      </c>
      <c r="H187" s="4"/>
      <c r="I187" s="2" t="s">
        <v>492</v>
      </c>
      <c r="J187" s="2">
        <v>2020</v>
      </c>
      <c r="K187" s="2" t="s">
        <v>73</v>
      </c>
    </row>
    <row r="188" spans="1:11" ht="20.100000000000001" customHeight="1" x14ac:dyDescent="0.45">
      <c r="A188" s="2" t="s">
        <v>488</v>
      </c>
      <c r="B188" s="3">
        <v>1026560667</v>
      </c>
      <c r="C188" s="2" t="s">
        <v>1039</v>
      </c>
      <c r="D188" s="2" t="s">
        <v>1040</v>
      </c>
      <c r="E188" s="4" t="s">
        <v>1041</v>
      </c>
      <c r="F188" s="2" t="s">
        <v>12</v>
      </c>
      <c r="G188" s="2" t="s">
        <v>12</v>
      </c>
      <c r="H188" s="4"/>
      <c r="I188" s="2" t="s">
        <v>492</v>
      </c>
      <c r="J188" s="2">
        <v>3708</v>
      </c>
      <c r="K188" s="2" t="s">
        <v>73</v>
      </c>
    </row>
    <row r="189" spans="1:11" ht="20.100000000000001" customHeight="1" x14ac:dyDescent="0.45">
      <c r="A189" s="2" t="s">
        <v>488</v>
      </c>
      <c r="B189" s="3">
        <v>1026590881</v>
      </c>
      <c r="C189" s="2" t="s">
        <v>1042</v>
      </c>
      <c r="D189" s="2" t="s">
        <v>1043</v>
      </c>
      <c r="E189" s="4" t="s">
        <v>1044</v>
      </c>
      <c r="F189" s="2" t="s">
        <v>12</v>
      </c>
      <c r="G189" s="2" t="s">
        <v>12</v>
      </c>
      <c r="H189" s="4"/>
      <c r="I189" s="2" t="s">
        <v>492</v>
      </c>
      <c r="J189" s="2">
        <v>2020</v>
      </c>
      <c r="K189" s="2" t="s">
        <v>73</v>
      </c>
    </row>
    <row r="190" spans="1:11" ht="20.100000000000001" customHeight="1" x14ac:dyDescent="0.45">
      <c r="A190" s="2" t="s">
        <v>488</v>
      </c>
      <c r="B190" s="3">
        <v>1026595300</v>
      </c>
      <c r="C190" s="2" t="s">
        <v>1045</v>
      </c>
      <c r="D190" s="2" t="s">
        <v>1046</v>
      </c>
      <c r="E190" s="4" t="s">
        <v>1047</v>
      </c>
      <c r="F190" s="2" t="s">
        <v>12</v>
      </c>
      <c r="G190" s="2" t="s">
        <v>12</v>
      </c>
      <c r="H190" s="4"/>
      <c r="I190" s="2" t="s">
        <v>492</v>
      </c>
      <c r="J190" s="2">
        <v>2026</v>
      </c>
      <c r="K190" s="2" t="s">
        <v>73</v>
      </c>
    </row>
    <row r="191" spans="1:11" ht="20.100000000000001" customHeight="1" x14ac:dyDescent="0.45">
      <c r="A191" s="2" t="s">
        <v>488</v>
      </c>
      <c r="B191" s="3">
        <v>1026600296</v>
      </c>
      <c r="C191" s="2" t="s">
        <v>1048</v>
      </c>
      <c r="D191" s="2" t="s">
        <v>1049</v>
      </c>
      <c r="E191" s="4" t="s">
        <v>1050</v>
      </c>
      <c r="F191" s="2" t="s">
        <v>12</v>
      </c>
      <c r="G191" s="2" t="s">
        <v>12</v>
      </c>
      <c r="H191" s="4"/>
      <c r="I191" s="2" t="s">
        <v>492</v>
      </c>
      <c r="J191" s="2">
        <v>2021</v>
      </c>
      <c r="K191" s="2" t="s">
        <v>73</v>
      </c>
    </row>
    <row r="192" spans="1:11" ht="20.100000000000001" customHeight="1" x14ac:dyDescent="0.45">
      <c r="A192" s="2" t="s">
        <v>488</v>
      </c>
      <c r="B192" s="3">
        <v>1030597501</v>
      </c>
      <c r="C192" s="2" t="s">
        <v>1051</v>
      </c>
      <c r="D192" s="2" t="s">
        <v>1052</v>
      </c>
      <c r="E192" s="4" t="s">
        <v>1053</v>
      </c>
      <c r="F192" s="2" t="s">
        <v>12</v>
      </c>
      <c r="G192" s="2" t="s">
        <v>12</v>
      </c>
      <c r="H192" s="4"/>
      <c r="I192" s="2" t="s">
        <v>492</v>
      </c>
      <c r="J192" s="2">
        <v>2018</v>
      </c>
      <c r="K192" s="2" t="s">
        <v>73</v>
      </c>
    </row>
    <row r="193" spans="1:11" ht="20.100000000000001" customHeight="1" x14ac:dyDescent="0.45">
      <c r="A193" s="2" t="s">
        <v>488</v>
      </c>
      <c r="B193" s="3">
        <v>1030631143</v>
      </c>
      <c r="C193" s="2" t="s">
        <v>1054</v>
      </c>
      <c r="D193" s="2" t="s">
        <v>1055</v>
      </c>
      <c r="E193" s="4" t="s">
        <v>1056</v>
      </c>
      <c r="F193" s="2" t="s">
        <v>12</v>
      </c>
      <c r="G193" s="2" t="s">
        <v>12</v>
      </c>
      <c r="H193" s="4"/>
      <c r="I193" s="2" t="s">
        <v>492</v>
      </c>
      <c r="J193" s="2">
        <v>2021</v>
      </c>
      <c r="K193" s="2" t="s">
        <v>73</v>
      </c>
    </row>
    <row r="194" spans="1:11" ht="20.100000000000001" customHeight="1" x14ac:dyDescent="0.45">
      <c r="A194" s="2" t="s">
        <v>488</v>
      </c>
      <c r="B194" s="3">
        <v>1030680394</v>
      </c>
      <c r="C194" s="2" t="s">
        <v>1057</v>
      </c>
      <c r="D194" s="2" t="s">
        <v>1058</v>
      </c>
      <c r="E194" s="4" t="s">
        <v>1059</v>
      </c>
      <c r="F194" s="2" t="s">
        <v>12</v>
      </c>
      <c r="G194" s="2" t="s">
        <v>12</v>
      </c>
      <c r="H194" s="4"/>
      <c r="I194" s="2" t="s">
        <v>492</v>
      </c>
      <c r="J194" s="2">
        <v>2023</v>
      </c>
      <c r="K194" s="2" t="s">
        <v>73</v>
      </c>
    </row>
    <row r="195" spans="1:11" ht="20.100000000000001" customHeight="1" x14ac:dyDescent="0.45">
      <c r="A195" s="2" t="s">
        <v>488</v>
      </c>
      <c r="B195" s="3">
        <v>1031806185</v>
      </c>
      <c r="C195" s="2" t="s">
        <v>1060</v>
      </c>
      <c r="D195" s="2" t="s">
        <v>1061</v>
      </c>
      <c r="E195" s="4" t="s">
        <v>1062</v>
      </c>
      <c r="F195" s="2" t="s">
        <v>12</v>
      </c>
      <c r="G195" s="2" t="s">
        <v>12</v>
      </c>
      <c r="H195" s="4"/>
      <c r="I195" s="2" t="s">
        <v>492</v>
      </c>
      <c r="J195" s="2">
        <v>2020</v>
      </c>
      <c r="K195" s="2" t="s">
        <v>73</v>
      </c>
    </row>
    <row r="196" spans="1:11" ht="20.100000000000001" customHeight="1" x14ac:dyDescent="0.45">
      <c r="A196" s="2" t="s">
        <v>488</v>
      </c>
      <c r="B196" s="3">
        <v>1032358964</v>
      </c>
      <c r="C196" s="2" t="s">
        <v>1063</v>
      </c>
      <c r="D196" s="2" t="s">
        <v>1064</v>
      </c>
      <c r="E196" s="4" t="s">
        <v>1065</v>
      </c>
      <c r="F196" s="2" t="s">
        <v>12</v>
      </c>
      <c r="G196" s="2" t="s">
        <v>12</v>
      </c>
      <c r="H196" s="4"/>
      <c r="I196" s="2" t="s">
        <v>492</v>
      </c>
      <c r="J196" s="2">
        <v>2020</v>
      </c>
      <c r="K196" s="2" t="s">
        <v>73</v>
      </c>
    </row>
    <row r="197" spans="1:11" ht="20.100000000000001" customHeight="1" x14ac:dyDescent="0.45">
      <c r="A197" s="2" t="s">
        <v>488</v>
      </c>
      <c r="B197" s="3">
        <v>1032411588</v>
      </c>
      <c r="C197" s="2" t="s">
        <v>1066</v>
      </c>
      <c r="D197" s="2" t="s">
        <v>1067</v>
      </c>
      <c r="E197" s="4" t="s">
        <v>1068</v>
      </c>
      <c r="F197" s="2" t="s">
        <v>12</v>
      </c>
      <c r="G197" s="2" t="s">
        <v>12</v>
      </c>
      <c r="H197" s="4"/>
      <c r="I197" s="2" t="s">
        <v>492</v>
      </c>
      <c r="J197" s="2">
        <v>2021</v>
      </c>
      <c r="K197" s="2" t="s">
        <v>73</v>
      </c>
    </row>
    <row r="198" spans="1:11" ht="20.100000000000001" customHeight="1" x14ac:dyDescent="0.45">
      <c r="A198" s="2" t="s">
        <v>488</v>
      </c>
      <c r="B198" s="3">
        <v>1032448692</v>
      </c>
      <c r="C198" s="2" t="s">
        <v>1069</v>
      </c>
      <c r="D198" s="2" t="s">
        <v>1070</v>
      </c>
      <c r="E198" s="4" t="s">
        <v>1071</v>
      </c>
      <c r="F198" s="2" t="s">
        <v>12</v>
      </c>
      <c r="G198" s="2" t="s">
        <v>12</v>
      </c>
      <c r="H198" s="4"/>
      <c r="I198" s="2" t="s">
        <v>492</v>
      </c>
      <c r="J198" s="2">
        <v>2026</v>
      </c>
      <c r="K198" s="2" t="s">
        <v>73</v>
      </c>
    </row>
    <row r="199" spans="1:11" ht="20.100000000000001" customHeight="1" x14ac:dyDescent="0.45">
      <c r="A199" s="2" t="s">
        <v>488</v>
      </c>
      <c r="B199" s="3">
        <v>1032455279</v>
      </c>
      <c r="C199" s="2" t="s">
        <v>1072</v>
      </c>
      <c r="D199" s="2" t="s">
        <v>1073</v>
      </c>
      <c r="E199" s="4" t="s">
        <v>1074</v>
      </c>
      <c r="F199" s="2" t="s">
        <v>12</v>
      </c>
      <c r="G199" s="2" t="s">
        <v>12</v>
      </c>
      <c r="H199" s="4"/>
      <c r="I199" s="2" t="s">
        <v>492</v>
      </c>
      <c r="J199" s="2">
        <v>2026</v>
      </c>
      <c r="K199" s="2" t="s">
        <v>73</v>
      </c>
    </row>
    <row r="200" spans="1:11" ht="20.100000000000001" customHeight="1" x14ac:dyDescent="0.45">
      <c r="A200" s="2" t="s">
        <v>488</v>
      </c>
      <c r="B200" s="3">
        <v>1033677495</v>
      </c>
      <c r="C200" s="2" t="s">
        <v>1075</v>
      </c>
      <c r="D200" s="2" t="s">
        <v>1076</v>
      </c>
      <c r="E200" s="4" t="s">
        <v>1077</v>
      </c>
      <c r="F200" s="2" t="s">
        <v>12</v>
      </c>
      <c r="G200" s="2" t="s">
        <v>12</v>
      </c>
      <c r="H200" s="4"/>
      <c r="I200" s="2" t="s">
        <v>492</v>
      </c>
      <c r="J200" s="2">
        <v>2021</v>
      </c>
      <c r="K200" s="2" t="s">
        <v>73</v>
      </c>
    </row>
    <row r="201" spans="1:11" ht="20.100000000000001" customHeight="1" x14ac:dyDescent="0.45">
      <c r="A201" s="2" t="s">
        <v>488</v>
      </c>
      <c r="B201" s="3">
        <v>1033694230</v>
      </c>
      <c r="C201" s="2" t="s">
        <v>1078</v>
      </c>
      <c r="D201" s="2" t="s">
        <v>1079</v>
      </c>
      <c r="E201" s="4" t="s">
        <v>1080</v>
      </c>
      <c r="F201" s="2" t="s">
        <v>12</v>
      </c>
      <c r="G201" s="2" t="s">
        <v>12</v>
      </c>
      <c r="H201" s="4"/>
      <c r="I201" s="2" t="s">
        <v>492</v>
      </c>
      <c r="J201" s="2">
        <v>2023</v>
      </c>
      <c r="K201" s="2" t="s">
        <v>73</v>
      </c>
    </row>
    <row r="202" spans="1:11" ht="20.100000000000001" customHeight="1" x14ac:dyDescent="0.45">
      <c r="A202" s="2" t="s">
        <v>488</v>
      </c>
      <c r="B202" s="3">
        <v>1033743277</v>
      </c>
      <c r="C202" s="2" t="s">
        <v>1081</v>
      </c>
      <c r="D202" s="2" t="s">
        <v>1082</v>
      </c>
      <c r="E202" s="4" t="s">
        <v>1083</v>
      </c>
      <c r="F202" s="2" t="s">
        <v>12</v>
      </c>
      <c r="G202" s="2" t="s">
        <v>12</v>
      </c>
      <c r="H202" s="4"/>
      <c r="I202" s="2" t="s">
        <v>492</v>
      </c>
      <c r="J202" s="2">
        <v>2021</v>
      </c>
      <c r="K202" s="2" t="s">
        <v>73</v>
      </c>
    </row>
    <row r="203" spans="1:11" ht="20.100000000000001" customHeight="1" x14ac:dyDescent="0.45">
      <c r="A203" s="2" t="s">
        <v>488</v>
      </c>
      <c r="B203" s="3">
        <v>1033756966</v>
      </c>
      <c r="C203" s="2" t="s">
        <v>1084</v>
      </c>
      <c r="D203" s="2" t="s">
        <v>1085</v>
      </c>
      <c r="E203" s="4" t="s">
        <v>1086</v>
      </c>
      <c r="F203" s="2" t="s">
        <v>12</v>
      </c>
      <c r="G203" s="2" t="s">
        <v>12</v>
      </c>
      <c r="H203" s="4"/>
      <c r="I203" s="2" t="s">
        <v>492</v>
      </c>
      <c r="J203" s="2">
        <v>2023</v>
      </c>
      <c r="K203" s="2" t="s">
        <v>73</v>
      </c>
    </row>
    <row r="204" spans="1:11" ht="20.100000000000001" customHeight="1" x14ac:dyDescent="0.45">
      <c r="A204" s="2" t="s">
        <v>488</v>
      </c>
      <c r="B204" s="3">
        <v>1041440332</v>
      </c>
      <c r="C204" s="2" t="s">
        <v>1087</v>
      </c>
      <c r="D204" s="2" t="s">
        <v>1088</v>
      </c>
      <c r="E204" s="4" t="s">
        <v>1089</v>
      </c>
      <c r="F204" s="2" t="s">
        <v>12</v>
      </c>
      <c r="G204" s="2" t="s">
        <v>12</v>
      </c>
      <c r="H204" s="4"/>
      <c r="I204" s="2" t="s">
        <v>492</v>
      </c>
      <c r="J204" s="2">
        <v>2021</v>
      </c>
      <c r="K204" s="2" t="s">
        <v>73</v>
      </c>
    </row>
    <row r="205" spans="1:11" ht="20.100000000000001" customHeight="1" x14ac:dyDescent="0.45">
      <c r="A205" s="2" t="s">
        <v>488</v>
      </c>
      <c r="B205" s="3">
        <v>1041440333</v>
      </c>
      <c r="C205" s="2" t="s">
        <v>1090</v>
      </c>
      <c r="D205" s="2" t="s">
        <v>1091</v>
      </c>
      <c r="E205" s="4" t="s">
        <v>1092</v>
      </c>
      <c r="F205" s="2" t="s">
        <v>12</v>
      </c>
      <c r="G205" s="2" t="s">
        <v>12</v>
      </c>
      <c r="H205" s="4"/>
      <c r="I205" s="2" t="s">
        <v>492</v>
      </c>
      <c r="J205" s="2">
        <v>2021</v>
      </c>
      <c r="K205" s="2" t="s">
        <v>73</v>
      </c>
    </row>
    <row r="206" spans="1:11" ht="20.100000000000001" customHeight="1" x14ac:dyDescent="0.45">
      <c r="A206" s="2" t="s">
        <v>488</v>
      </c>
      <c r="B206" s="3">
        <v>1042440539</v>
      </c>
      <c r="C206" s="2" t="s">
        <v>1093</v>
      </c>
      <c r="D206" s="2" t="s">
        <v>1094</v>
      </c>
      <c r="E206" s="4" t="s">
        <v>1095</v>
      </c>
      <c r="F206" s="2" t="s">
        <v>12</v>
      </c>
      <c r="G206" s="2" t="s">
        <v>12</v>
      </c>
      <c r="H206" s="4"/>
      <c r="I206" s="2" t="s">
        <v>492</v>
      </c>
      <c r="J206" s="2">
        <v>2020</v>
      </c>
      <c r="K206" s="2" t="s">
        <v>73</v>
      </c>
    </row>
    <row r="207" spans="1:11" ht="20.100000000000001" customHeight="1" x14ac:dyDescent="0.45">
      <c r="A207" s="2" t="s">
        <v>488</v>
      </c>
      <c r="B207" s="3">
        <v>1043587284</v>
      </c>
      <c r="C207" s="2" t="s">
        <v>1096</v>
      </c>
      <c r="D207" s="2" t="s">
        <v>1097</v>
      </c>
      <c r="E207" s="4" t="s">
        <v>1098</v>
      </c>
      <c r="F207" s="2" t="s">
        <v>12</v>
      </c>
      <c r="G207" s="2" t="s">
        <v>12</v>
      </c>
      <c r="H207" s="4"/>
      <c r="I207" s="2" t="s">
        <v>492</v>
      </c>
      <c r="J207" s="2">
        <v>2022</v>
      </c>
      <c r="K207" s="2" t="s">
        <v>73</v>
      </c>
    </row>
    <row r="208" spans="1:11" ht="20.100000000000001" customHeight="1" x14ac:dyDescent="0.45">
      <c r="A208" s="2" t="s">
        <v>488</v>
      </c>
      <c r="B208" s="3">
        <v>1044609400</v>
      </c>
      <c r="C208" s="2" t="s">
        <v>1099</v>
      </c>
      <c r="D208" s="2" t="s">
        <v>1100</v>
      </c>
      <c r="E208" s="4" t="s">
        <v>1101</v>
      </c>
      <c r="F208" s="2" t="s">
        <v>12</v>
      </c>
      <c r="G208" s="2" t="s">
        <v>12</v>
      </c>
      <c r="H208" s="4"/>
      <c r="I208" s="2" t="s">
        <v>492</v>
      </c>
      <c r="J208" s="2">
        <v>2022</v>
      </c>
      <c r="K208" s="2" t="s">
        <v>73</v>
      </c>
    </row>
    <row r="209" spans="1:11" ht="20.100000000000001" customHeight="1" x14ac:dyDescent="0.45">
      <c r="A209" s="2" t="s">
        <v>488</v>
      </c>
      <c r="B209" s="3">
        <v>1045673610</v>
      </c>
      <c r="C209" s="2" t="s">
        <v>1102</v>
      </c>
      <c r="D209" s="2" t="s">
        <v>1103</v>
      </c>
      <c r="E209" s="4" t="s">
        <v>1104</v>
      </c>
      <c r="F209" s="2" t="s">
        <v>12</v>
      </c>
      <c r="G209" s="2" t="s">
        <v>12</v>
      </c>
      <c r="H209" s="4"/>
      <c r="I209" s="2" t="s">
        <v>492</v>
      </c>
      <c r="J209" s="2">
        <v>2020</v>
      </c>
      <c r="K209" s="2" t="s">
        <v>73</v>
      </c>
    </row>
    <row r="210" spans="1:11" ht="20.100000000000001" customHeight="1" x14ac:dyDescent="0.45">
      <c r="A210" s="2" t="s">
        <v>488</v>
      </c>
      <c r="B210" s="3">
        <v>1046400639</v>
      </c>
      <c r="C210" s="2" t="s">
        <v>1105</v>
      </c>
      <c r="D210" s="2" t="s">
        <v>1106</v>
      </c>
      <c r="E210" s="4" t="s">
        <v>1107</v>
      </c>
      <c r="F210" s="2" t="s">
        <v>12</v>
      </c>
      <c r="G210" s="2" t="s">
        <v>12</v>
      </c>
      <c r="H210" s="4"/>
      <c r="I210" s="2" t="s">
        <v>492</v>
      </c>
      <c r="J210" s="2">
        <v>3708</v>
      </c>
      <c r="K210" s="2" t="s">
        <v>73</v>
      </c>
    </row>
    <row r="211" spans="1:11" ht="20.100000000000001" customHeight="1" x14ac:dyDescent="0.45">
      <c r="A211" s="2" t="s">
        <v>488</v>
      </c>
      <c r="B211" s="3">
        <v>1046404608</v>
      </c>
      <c r="C211" s="2" t="s">
        <v>1108</v>
      </c>
      <c r="D211" s="2" t="s">
        <v>1109</v>
      </c>
      <c r="E211" s="4" t="s">
        <v>1110</v>
      </c>
      <c r="F211" s="2" t="s">
        <v>12</v>
      </c>
      <c r="G211" s="2" t="s">
        <v>12</v>
      </c>
      <c r="H211" s="4"/>
      <c r="I211" s="2" t="s">
        <v>492</v>
      </c>
      <c r="J211" s="2">
        <v>2021</v>
      </c>
      <c r="K211" s="2" t="s">
        <v>73</v>
      </c>
    </row>
    <row r="212" spans="1:11" ht="20.100000000000001" customHeight="1" x14ac:dyDescent="0.45">
      <c r="A212" s="2" t="s">
        <v>488</v>
      </c>
      <c r="B212" s="3">
        <v>1047217016</v>
      </c>
      <c r="C212" s="2" t="s">
        <v>1111</v>
      </c>
      <c r="D212" s="2" t="s">
        <v>1112</v>
      </c>
      <c r="E212" s="4" t="s">
        <v>1113</v>
      </c>
      <c r="F212" s="2" t="s">
        <v>12</v>
      </c>
      <c r="G212" s="2" t="s">
        <v>12</v>
      </c>
      <c r="H212" s="4"/>
      <c r="I212" s="2" t="s">
        <v>492</v>
      </c>
      <c r="J212" s="2">
        <v>2020</v>
      </c>
      <c r="K212" s="2" t="s">
        <v>73</v>
      </c>
    </row>
    <row r="213" spans="1:11" ht="20.100000000000001" customHeight="1" x14ac:dyDescent="0.45">
      <c r="A213" s="2" t="s">
        <v>488</v>
      </c>
      <c r="B213" s="3">
        <v>1050693310</v>
      </c>
      <c r="C213" s="2" t="s">
        <v>1114</v>
      </c>
      <c r="D213" s="2" t="s">
        <v>1115</v>
      </c>
      <c r="E213" s="4" t="s">
        <v>1116</v>
      </c>
      <c r="F213" s="2" t="s">
        <v>12</v>
      </c>
      <c r="G213" s="2" t="s">
        <v>12</v>
      </c>
      <c r="H213" s="4"/>
      <c r="I213" s="2" t="s">
        <v>492</v>
      </c>
      <c r="J213" s="2">
        <v>2021</v>
      </c>
      <c r="K213" s="2" t="s">
        <v>73</v>
      </c>
    </row>
    <row r="214" spans="1:11" ht="20.100000000000001" customHeight="1" x14ac:dyDescent="0.45">
      <c r="A214" s="2" t="s">
        <v>488</v>
      </c>
      <c r="B214" s="3">
        <v>1052836126</v>
      </c>
      <c r="C214" s="2" t="s">
        <v>1117</v>
      </c>
      <c r="D214" s="2" t="s">
        <v>1118</v>
      </c>
      <c r="E214" s="4" t="s">
        <v>1119</v>
      </c>
      <c r="F214" s="2" t="s">
        <v>12</v>
      </c>
      <c r="G214" s="2" t="s">
        <v>12</v>
      </c>
      <c r="H214" s="4"/>
      <c r="I214" s="2" t="s">
        <v>492</v>
      </c>
      <c r="J214" s="2">
        <v>2023</v>
      </c>
      <c r="K214" s="2" t="s">
        <v>73</v>
      </c>
    </row>
    <row r="215" spans="1:11" ht="20.100000000000001" customHeight="1" x14ac:dyDescent="0.45">
      <c r="A215" s="2" t="s">
        <v>488</v>
      </c>
      <c r="B215" s="3">
        <v>1052963640</v>
      </c>
      <c r="C215" s="2" t="s">
        <v>1120</v>
      </c>
      <c r="D215" s="2" t="s">
        <v>1121</v>
      </c>
      <c r="E215" s="4" t="s">
        <v>1122</v>
      </c>
      <c r="F215" s="2" t="s">
        <v>12</v>
      </c>
      <c r="G215" s="2" t="s">
        <v>12</v>
      </c>
      <c r="H215" s="4"/>
      <c r="I215" s="2" t="s">
        <v>492</v>
      </c>
      <c r="J215" s="2">
        <v>2021</v>
      </c>
      <c r="K215" s="2" t="s">
        <v>73</v>
      </c>
    </row>
    <row r="216" spans="1:11" ht="20.100000000000001" customHeight="1" x14ac:dyDescent="0.45">
      <c r="A216" s="2" t="s">
        <v>488</v>
      </c>
      <c r="B216" s="3">
        <v>1053326828</v>
      </c>
      <c r="C216" s="2" t="s">
        <v>1123</v>
      </c>
      <c r="D216" s="2" t="s">
        <v>527</v>
      </c>
      <c r="E216" s="4" t="s">
        <v>527</v>
      </c>
      <c r="F216" s="2" t="s">
        <v>12</v>
      </c>
      <c r="G216" s="2" t="s">
        <v>12</v>
      </c>
      <c r="H216" s="4"/>
      <c r="I216" s="2" t="s">
        <v>492</v>
      </c>
      <c r="J216" s="2">
        <v>2020</v>
      </c>
      <c r="K216" s="2" t="s">
        <v>73</v>
      </c>
    </row>
    <row r="217" spans="1:11" ht="20.100000000000001" customHeight="1" x14ac:dyDescent="0.45">
      <c r="A217" s="2" t="s">
        <v>488</v>
      </c>
      <c r="B217" s="3">
        <v>1054226084</v>
      </c>
      <c r="C217" s="2" t="s">
        <v>1124</v>
      </c>
      <c r="D217" s="2" t="s">
        <v>1125</v>
      </c>
      <c r="E217" s="4" t="s">
        <v>1126</v>
      </c>
      <c r="F217" s="2" t="s">
        <v>12</v>
      </c>
      <c r="G217" s="2" t="s">
        <v>12</v>
      </c>
      <c r="H217" s="4"/>
      <c r="I217" s="2" t="s">
        <v>492</v>
      </c>
      <c r="J217" s="2">
        <v>2023</v>
      </c>
      <c r="K217" s="2" t="s">
        <v>73</v>
      </c>
    </row>
    <row r="218" spans="1:11" ht="20.100000000000001" customHeight="1" x14ac:dyDescent="0.45">
      <c r="A218" s="2" t="s">
        <v>488</v>
      </c>
      <c r="B218" s="3">
        <v>1057598297</v>
      </c>
      <c r="C218" s="2" t="s">
        <v>1127</v>
      </c>
      <c r="D218" s="2" t="s">
        <v>1128</v>
      </c>
      <c r="E218" s="4" t="s">
        <v>1129</v>
      </c>
      <c r="F218" s="2" t="s">
        <v>12</v>
      </c>
      <c r="G218" s="2" t="s">
        <v>12</v>
      </c>
      <c r="H218" s="4"/>
      <c r="I218" s="2" t="s">
        <v>492</v>
      </c>
      <c r="J218" s="2">
        <v>2028</v>
      </c>
      <c r="K218" s="2" t="s">
        <v>73</v>
      </c>
    </row>
    <row r="219" spans="1:11" ht="20.100000000000001" customHeight="1" x14ac:dyDescent="0.45">
      <c r="A219" s="2" t="s">
        <v>488</v>
      </c>
      <c r="B219" s="3">
        <v>1057893263</v>
      </c>
      <c r="C219" s="2" t="s">
        <v>1130</v>
      </c>
      <c r="D219" s="2" t="s">
        <v>1131</v>
      </c>
      <c r="E219" s="4" t="s">
        <v>1132</v>
      </c>
      <c r="F219" s="2" t="s">
        <v>12</v>
      </c>
      <c r="G219" s="2" t="s">
        <v>12</v>
      </c>
      <c r="H219" s="4"/>
      <c r="I219" s="2" t="s">
        <v>492</v>
      </c>
      <c r="J219" s="2">
        <v>2021</v>
      </c>
      <c r="K219" s="2" t="s">
        <v>73</v>
      </c>
    </row>
    <row r="220" spans="1:11" ht="20.100000000000001" customHeight="1" x14ac:dyDescent="0.45">
      <c r="A220" s="2" t="s">
        <v>488</v>
      </c>
      <c r="B220" s="3">
        <v>1057893335</v>
      </c>
      <c r="C220" s="2" t="s">
        <v>1133</v>
      </c>
      <c r="D220" s="2" t="s">
        <v>1134</v>
      </c>
      <c r="E220" s="4" t="s">
        <v>1135</v>
      </c>
      <c r="F220" s="2" t="s">
        <v>12</v>
      </c>
      <c r="G220" s="2" t="s">
        <v>12</v>
      </c>
      <c r="H220" s="4"/>
      <c r="I220" s="2" t="s">
        <v>492</v>
      </c>
      <c r="J220" s="2">
        <v>2021</v>
      </c>
      <c r="K220" s="2" t="s">
        <v>73</v>
      </c>
    </row>
    <row r="221" spans="1:11" ht="20.100000000000001" customHeight="1" x14ac:dyDescent="0.45">
      <c r="A221" s="2" t="s">
        <v>488</v>
      </c>
      <c r="B221" s="3">
        <v>1059900742</v>
      </c>
      <c r="C221" s="2" t="s">
        <v>1136</v>
      </c>
      <c r="D221" s="2" t="s">
        <v>527</v>
      </c>
      <c r="E221" s="4" t="s">
        <v>1137</v>
      </c>
      <c r="F221" s="2" t="s">
        <v>12</v>
      </c>
      <c r="G221" s="2" t="s">
        <v>12</v>
      </c>
      <c r="H221" s="4"/>
      <c r="I221" s="2" t="s">
        <v>492</v>
      </c>
      <c r="J221" s="2">
        <v>2020</v>
      </c>
      <c r="K221" s="2" t="s">
        <v>73</v>
      </c>
    </row>
    <row r="222" spans="1:11" ht="20.100000000000001" customHeight="1" x14ac:dyDescent="0.45">
      <c r="A222" s="2" t="s">
        <v>488</v>
      </c>
      <c r="B222" s="3">
        <v>1063300351</v>
      </c>
      <c r="C222" s="2" t="s">
        <v>1138</v>
      </c>
      <c r="D222" s="2" t="s">
        <v>1139</v>
      </c>
      <c r="E222" s="4" t="s">
        <v>1140</v>
      </c>
      <c r="F222" s="2" t="s">
        <v>12</v>
      </c>
      <c r="G222" s="2" t="s">
        <v>12</v>
      </c>
      <c r="H222" s="4"/>
      <c r="I222" s="2" t="s">
        <v>492</v>
      </c>
      <c r="J222" s="2">
        <v>2020</v>
      </c>
      <c r="K222" s="2" t="s">
        <v>73</v>
      </c>
    </row>
    <row r="223" spans="1:11" ht="20.100000000000001" customHeight="1" x14ac:dyDescent="0.45">
      <c r="A223" s="2" t="s">
        <v>488</v>
      </c>
      <c r="B223" s="3">
        <v>1065627424</v>
      </c>
      <c r="C223" s="2" t="s">
        <v>1141</v>
      </c>
      <c r="D223" s="2" t="s">
        <v>1142</v>
      </c>
      <c r="E223" s="4" t="s">
        <v>1143</v>
      </c>
      <c r="F223" s="2" t="s">
        <v>12</v>
      </c>
      <c r="G223" s="2" t="s">
        <v>12</v>
      </c>
      <c r="H223" s="4"/>
      <c r="I223" s="2" t="s">
        <v>492</v>
      </c>
      <c r="J223" s="2">
        <v>2021</v>
      </c>
      <c r="K223" s="2" t="s">
        <v>73</v>
      </c>
    </row>
    <row r="224" spans="1:11" ht="20.100000000000001" customHeight="1" x14ac:dyDescent="0.45">
      <c r="A224" s="2" t="s">
        <v>488</v>
      </c>
      <c r="B224" s="3">
        <v>1067910006</v>
      </c>
      <c r="C224" s="2" t="s">
        <v>1144</v>
      </c>
      <c r="D224" s="2" t="s">
        <v>1145</v>
      </c>
      <c r="E224" s="4" t="s">
        <v>1146</v>
      </c>
      <c r="F224" s="2" t="s">
        <v>12</v>
      </c>
      <c r="G224" s="2" t="s">
        <v>12</v>
      </c>
      <c r="H224" s="4"/>
      <c r="I224" s="2" t="s">
        <v>492</v>
      </c>
      <c r="J224" s="2">
        <v>2020</v>
      </c>
      <c r="K224" s="2" t="s">
        <v>73</v>
      </c>
    </row>
    <row r="225" spans="1:11" ht="20.100000000000001" customHeight="1" x14ac:dyDescent="0.45">
      <c r="A225" s="2" t="s">
        <v>488</v>
      </c>
      <c r="B225" s="3">
        <v>1069154044</v>
      </c>
      <c r="C225" s="2" t="s">
        <v>1147</v>
      </c>
      <c r="D225" s="2" t="s">
        <v>1148</v>
      </c>
      <c r="E225" s="4" t="s">
        <v>1149</v>
      </c>
      <c r="F225" s="2" t="s">
        <v>12</v>
      </c>
      <c r="G225" s="2" t="s">
        <v>12</v>
      </c>
      <c r="H225" s="4"/>
      <c r="I225" s="2" t="s">
        <v>492</v>
      </c>
      <c r="J225" s="2">
        <v>3156</v>
      </c>
      <c r="K225" s="2" t="s">
        <v>73</v>
      </c>
    </row>
    <row r="226" spans="1:11" ht="20.100000000000001" customHeight="1" x14ac:dyDescent="0.45">
      <c r="A226" s="2" t="s">
        <v>488</v>
      </c>
      <c r="B226" s="3">
        <v>1070014271</v>
      </c>
      <c r="C226" s="2" t="s">
        <v>1150</v>
      </c>
      <c r="D226" s="2" t="s">
        <v>1151</v>
      </c>
      <c r="E226" s="4" t="s">
        <v>1152</v>
      </c>
      <c r="F226" s="2" t="s">
        <v>12</v>
      </c>
      <c r="G226" s="2" t="s">
        <v>12</v>
      </c>
      <c r="H226" s="4"/>
      <c r="I226" s="2" t="s">
        <v>492</v>
      </c>
      <c r="J226" s="2">
        <v>2028</v>
      </c>
      <c r="K226" s="2" t="s">
        <v>73</v>
      </c>
    </row>
    <row r="227" spans="1:11" ht="20.100000000000001" customHeight="1" x14ac:dyDescent="0.45">
      <c r="A227" s="2" t="s">
        <v>488</v>
      </c>
      <c r="B227" s="3">
        <v>1070385532</v>
      </c>
      <c r="C227" s="2" t="s">
        <v>1153</v>
      </c>
      <c r="D227" s="2" t="s">
        <v>1154</v>
      </c>
      <c r="E227" s="4" t="s">
        <v>1155</v>
      </c>
      <c r="F227" s="2" t="s">
        <v>12</v>
      </c>
      <c r="G227" s="2" t="s">
        <v>12</v>
      </c>
      <c r="H227" s="4"/>
      <c r="I227" s="2" t="s">
        <v>492</v>
      </c>
      <c r="J227" s="2">
        <v>2020</v>
      </c>
      <c r="K227" s="2" t="s">
        <v>73</v>
      </c>
    </row>
    <row r="228" spans="1:11" ht="20.100000000000001" customHeight="1" x14ac:dyDescent="0.45">
      <c r="A228" s="2" t="s">
        <v>488</v>
      </c>
      <c r="B228" s="3">
        <v>1070624183</v>
      </c>
      <c r="C228" s="2" t="s">
        <v>1156</v>
      </c>
      <c r="D228" s="2" t="s">
        <v>1157</v>
      </c>
      <c r="E228" s="4" t="s">
        <v>1158</v>
      </c>
      <c r="F228" s="2" t="s">
        <v>12</v>
      </c>
      <c r="G228" s="2" t="s">
        <v>12</v>
      </c>
      <c r="H228" s="4"/>
      <c r="I228" s="2" t="s">
        <v>492</v>
      </c>
      <c r="J228" s="2">
        <v>2020</v>
      </c>
      <c r="K228" s="2" t="s">
        <v>73</v>
      </c>
    </row>
    <row r="229" spans="1:11" ht="20.100000000000001" customHeight="1" x14ac:dyDescent="0.45">
      <c r="A229" s="2" t="s">
        <v>488</v>
      </c>
      <c r="B229" s="3">
        <v>1072650812</v>
      </c>
      <c r="C229" s="2" t="s">
        <v>1159</v>
      </c>
      <c r="D229" s="2" t="s">
        <v>1160</v>
      </c>
      <c r="E229" s="4" t="s">
        <v>1161</v>
      </c>
      <c r="F229" s="2" t="s">
        <v>12</v>
      </c>
      <c r="G229" s="2" t="s">
        <v>12</v>
      </c>
      <c r="H229" s="4"/>
      <c r="I229" s="2" t="s">
        <v>492</v>
      </c>
      <c r="J229" s="2">
        <v>2018</v>
      </c>
      <c r="K229" s="2" t="s">
        <v>73</v>
      </c>
    </row>
    <row r="230" spans="1:11" ht="20.100000000000001" customHeight="1" x14ac:dyDescent="0.45">
      <c r="A230" s="2" t="s">
        <v>488</v>
      </c>
      <c r="B230" s="3">
        <v>1073605394</v>
      </c>
      <c r="C230" s="2" t="s">
        <v>1162</v>
      </c>
      <c r="D230" s="2" t="s">
        <v>1163</v>
      </c>
      <c r="E230" s="4" t="s">
        <v>1164</v>
      </c>
      <c r="F230" s="2" t="s">
        <v>12</v>
      </c>
      <c r="G230" s="2" t="s">
        <v>12</v>
      </c>
      <c r="H230" s="4"/>
      <c r="I230" s="2" t="s">
        <v>492</v>
      </c>
      <c r="J230" s="2">
        <v>2022</v>
      </c>
      <c r="K230" s="2" t="s">
        <v>73</v>
      </c>
    </row>
    <row r="231" spans="1:11" ht="20.100000000000001" customHeight="1" x14ac:dyDescent="0.45">
      <c r="A231" s="2" t="s">
        <v>488</v>
      </c>
      <c r="B231" s="3">
        <v>1073681374</v>
      </c>
      <c r="C231" s="2" t="s">
        <v>1165</v>
      </c>
      <c r="D231" s="2" t="s">
        <v>1166</v>
      </c>
      <c r="E231" s="4" t="s">
        <v>1167</v>
      </c>
      <c r="F231" s="2" t="s">
        <v>12</v>
      </c>
      <c r="G231" s="2" t="s">
        <v>12</v>
      </c>
      <c r="H231" s="4"/>
      <c r="I231" s="2" t="s">
        <v>492</v>
      </c>
      <c r="J231" s="2">
        <v>2021</v>
      </c>
      <c r="K231" s="2" t="s">
        <v>73</v>
      </c>
    </row>
    <row r="232" spans="1:11" ht="20.100000000000001" customHeight="1" x14ac:dyDescent="0.45">
      <c r="A232" s="2" t="s">
        <v>488</v>
      </c>
      <c r="B232" s="3">
        <v>1074130614</v>
      </c>
      <c r="C232" s="2" t="s">
        <v>1168</v>
      </c>
      <c r="D232" s="2" t="s">
        <v>1169</v>
      </c>
      <c r="E232" s="4" t="s">
        <v>1170</v>
      </c>
      <c r="F232" s="2" t="s">
        <v>12</v>
      </c>
      <c r="G232" s="2" t="s">
        <v>12</v>
      </c>
      <c r="H232" s="4"/>
      <c r="I232" s="2" t="s">
        <v>492</v>
      </c>
      <c r="J232" s="2">
        <v>2021</v>
      </c>
      <c r="K232" s="2" t="s">
        <v>73</v>
      </c>
    </row>
    <row r="233" spans="1:11" ht="20.100000000000001" customHeight="1" x14ac:dyDescent="0.45">
      <c r="A233" s="2" t="s">
        <v>488</v>
      </c>
      <c r="B233" s="3">
        <v>1075305300</v>
      </c>
      <c r="C233" s="2" t="s">
        <v>1171</v>
      </c>
      <c r="D233" s="2" t="s">
        <v>1172</v>
      </c>
      <c r="E233" s="4" t="s">
        <v>1173</v>
      </c>
      <c r="F233" s="2" t="s">
        <v>12</v>
      </c>
      <c r="G233" s="2" t="s">
        <v>12</v>
      </c>
      <c r="H233" s="4"/>
      <c r="I233" s="2" t="s">
        <v>492</v>
      </c>
      <c r="J233" s="2">
        <v>2021</v>
      </c>
      <c r="K233" s="2" t="s">
        <v>73</v>
      </c>
    </row>
    <row r="234" spans="1:11" ht="20.100000000000001" customHeight="1" x14ac:dyDescent="0.45">
      <c r="A234" s="2" t="s">
        <v>488</v>
      </c>
      <c r="B234" s="3">
        <v>1075625956</v>
      </c>
      <c r="C234" s="2" t="s">
        <v>1174</v>
      </c>
      <c r="D234" s="2" t="s">
        <v>1175</v>
      </c>
      <c r="E234" s="4" t="s">
        <v>1176</v>
      </c>
      <c r="F234" s="2" t="s">
        <v>12</v>
      </c>
      <c r="G234" s="2" t="s">
        <v>12</v>
      </c>
      <c r="H234" s="4"/>
      <c r="I234" s="2" t="s">
        <v>492</v>
      </c>
      <c r="J234" s="2">
        <v>2020</v>
      </c>
      <c r="K234" s="2" t="s">
        <v>73</v>
      </c>
    </row>
    <row r="235" spans="1:11" ht="20.100000000000001" customHeight="1" x14ac:dyDescent="0.45">
      <c r="A235" s="2" t="s">
        <v>488</v>
      </c>
      <c r="B235" s="3">
        <v>1079177988</v>
      </c>
      <c r="C235" s="2" t="s">
        <v>1177</v>
      </c>
      <c r="D235" s="2" t="s">
        <v>1178</v>
      </c>
      <c r="E235" s="4" t="s">
        <v>1179</v>
      </c>
      <c r="F235" s="2" t="s">
        <v>12</v>
      </c>
      <c r="G235" s="2" t="s">
        <v>12</v>
      </c>
      <c r="H235" s="4"/>
      <c r="I235" s="2" t="s">
        <v>492</v>
      </c>
      <c r="J235" s="2">
        <v>2021</v>
      </c>
      <c r="K235" s="2" t="s">
        <v>73</v>
      </c>
    </row>
    <row r="236" spans="1:11" ht="20.100000000000001" customHeight="1" x14ac:dyDescent="0.45">
      <c r="A236" s="2" t="s">
        <v>488</v>
      </c>
      <c r="B236" s="3">
        <v>1102888052</v>
      </c>
      <c r="C236" s="2" t="s">
        <v>1180</v>
      </c>
      <c r="D236" s="2" t="s">
        <v>1181</v>
      </c>
      <c r="E236" s="4" t="s">
        <v>1182</v>
      </c>
      <c r="F236" s="2" t="s">
        <v>12</v>
      </c>
      <c r="G236" s="2" t="s">
        <v>12</v>
      </c>
      <c r="H236" s="4"/>
      <c r="I236" s="2" t="s">
        <v>492</v>
      </c>
      <c r="J236" s="2">
        <v>2021</v>
      </c>
      <c r="K236" s="2" t="s">
        <v>73</v>
      </c>
    </row>
    <row r="237" spans="1:11" ht="20.100000000000001" customHeight="1" x14ac:dyDescent="0.45">
      <c r="A237" s="2" t="s">
        <v>488</v>
      </c>
      <c r="B237" s="3">
        <v>1106890899</v>
      </c>
      <c r="C237" s="2" t="s">
        <v>1183</v>
      </c>
      <c r="D237" s="2" t="s">
        <v>1184</v>
      </c>
      <c r="E237" s="4" t="s">
        <v>1185</v>
      </c>
      <c r="F237" s="2" t="s">
        <v>12</v>
      </c>
      <c r="G237" s="2" t="s">
        <v>12</v>
      </c>
      <c r="H237" s="4"/>
      <c r="I237" s="2" t="s">
        <v>492</v>
      </c>
      <c r="J237" s="2">
        <v>2023</v>
      </c>
      <c r="K237" s="2" t="s">
        <v>73</v>
      </c>
    </row>
    <row r="238" spans="1:11" ht="20.100000000000001" customHeight="1" x14ac:dyDescent="0.45">
      <c r="A238" s="2" t="s">
        <v>488</v>
      </c>
      <c r="B238" s="3">
        <v>1110469179</v>
      </c>
      <c r="C238" s="2" t="s">
        <v>1186</v>
      </c>
      <c r="D238" s="2" t="s">
        <v>1187</v>
      </c>
      <c r="E238" s="4" t="s">
        <v>1188</v>
      </c>
      <c r="F238" s="2" t="s">
        <v>12</v>
      </c>
      <c r="G238" s="2" t="s">
        <v>12</v>
      </c>
      <c r="H238" s="4"/>
      <c r="I238" s="2" t="s">
        <v>492</v>
      </c>
      <c r="J238" s="2">
        <v>2022</v>
      </c>
      <c r="K238" s="2" t="s">
        <v>73</v>
      </c>
    </row>
    <row r="239" spans="1:11" ht="20.100000000000001" customHeight="1" x14ac:dyDescent="0.45">
      <c r="A239" s="2" t="s">
        <v>488</v>
      </c>
      <c r="B239" s="3">
        <v>1111196583</v>
      </c>
      <c r="C239" s="2" t="s">
        <v>1189</v>
      </c>
      <c r="D239" s="2" t="s">
        <v>1190</v>
      </c>
      <c r="E239" s="4" t="s">
        <v>1191</v>
      </c>
      <c r="F239" s="2" t="s">
        <v>12</v>
      </c>
      <c r="G239" s="2" t="s">
        <v>12</v>
      </c>
      <c r="H239" s="4"/>
      <c r="I239" s="2" t="s">
        <v>492</v>
      </c>
      <c r="J239" s="2">
        <v>2021</v>
      </c>
      <c r="K239" s="2" t="s">
        <v>73</v>
      </c>
    </row>
    <row r="240" spans="1:11" ht="20.100000000000001" customHeight="1" x14ac:dyDescent="0.45">
      <c r="A240" s="2" t="s">
        <v>488</v>
      </c>
      <c r="B240" s="3">
        <v>1113635431</v>
      </c>
      <c r="C240" s="2" t="s">
        <v>1192</v>
      </c>
      <c r="D240" s="2" t="s">
        <v>1193</v>
      </c>
      <c r="E240" s="4" t="s">
        <v>1194</v>
      </c>
      <c r="F240" s="2" t="s">
        <v>12</v>
      </c>
      <c r="G240" s="2" t="s">
        <v>12</v>
      </c>
      <c r="H240" s="4"/>
      <c r="I240" s="2" t="s">
        <v>492</v>
      </c>
      <c r="J240" s="2">
        <v>2021</v>
      </c>
      <c r="K240" s="2" t="s">
        <v>73</v>
      </c>
    </row>
    <row r="241" spans="1:11" ht="20.100000000000001" customHeight="1" x14ac:dyDescent="0.45">
      <c r="A241" s="2" t="s">
        <v>488</v>
      </c>
      <c r="B241" s="3">
        <v>1117492302</v>
      </c>
      <c r="C241" s="2" t="s">
        <v>1195</v>
      </c>
      <c r="D241" s="2" t="s">
        <v>1196</v>
      </c>
      <c r="E241" s="4" t="s">
        <v>1197</v>
      </c>
      <c r="F241" s="2" t="s">
        <v>12</v>
      </c>
      <c r="G241" s="2" t="s">
        <v>12</v>
      </c>
      <c r="H241" s="4"/>
      <c r="I241" s="2" t="s">
        <v>492</v>
      </c>
      <c r="J241" s="2">
        <v>2020</v>
      </c>
      <c r="K241" s="2" t="s">
        <v>73</v>
      </c>
    </row>
    <row r="242" spans="1:11" ht="20.100000000000001" customHeight="1" x14ac:dyDescent="0.45">
      <c r="A242" s="2" t="s">
        <v>488</v>
      </c>
      <c r="B242" s="3">
        <v>1118468413</v>
      </c>
      <c r="C242" s="2" t="s">
        <v>1198</v>
      </c>
      <c r="D242" s="2" t="s">
        <v>1199</v>
      </c>
      <c r="E242" s="4" t="s">
        <v>1200</v>
      </c>
      <c r="F242" s="2" t="s">
        <v>12</v>
      </c>
      <c r="G242" s="2" t="s">
        <v>12</v>
      </c>
      <c r="H242" s="4"/>
      <c r="I242" s="2" t="s">
        <v>492</v>
      </c>
      <c r="J242" s="2">
        <v>2022</v>
      </c>
      <c r="K242" s="2" t="s">
        <v>73</v>
      </c>
    </row>
    <row r="243" spans="1:11" ht="20.100000000000001" customHeight="1" x14ac:dyDescent="0.45">
      <c r="A243" s="2" t="s">
        <v>488</v>
      </c>
      <c r="B243" s="3">
        <v>1127623222</v>
      </c>
      <c r="C243" s="2" t="s">
        <v>1201</v>
      </c>
      <c r="D243" s="2" t="s">
        <v>1202</v>
      </c>
      <c r="E243" s="4" t="s">
        <v>1203</v>
      </c>
      <c r="F243" s="2" t="s">
        <v>12</v>
      </c>
      <c r="G243" s="2" t="s">
        <v>12</v>
      </c>
      <c r="H243" s="4"/>
      <c r="I243" s="2" t="s">
        <v>492</v>
      </c>
      <c r="J243" s="2">
        <v>2020</v>
      </c>
      <c r="K243" s="2" t="s">
        <v>73</v>
      </c>
    </row>
    <row r="244" spans="1:11" ht="20.100000000000001" customHeight="1" x14ac:dyDescent="0.45">
      <c r="A244" s="2" t="s">
        <v>488</v>
      </c>
      <c r="B244" s="3">
        <v>1128056294</v>
      </c>
      <c r="C244" s="2" t="s">
        <v>1204</v>
      </c>
      <c r="D244" s="2" t="s">
        <v>1205</v>
      </c>
      <c r="E244" s="4" t="s">
        <v>1206</v>
      </c>
      <c r="F244" s="2" t="s">
        <v>12</v>
      </c>
      <c r="G244" s="2" t="s">
        <v>12</v>
      </c>
      <c r="H244" s="4"/>
      <c r="I244" s="2" t="s">
        <v>492</v>
      </c>
      <c r="J244" s="2">
        <v>2020</v>
      </c>
      <c r="K244" s="2" t="s">
        <v>73</v>
      </c>
    </row>
    <row r="245" spans="1:11" ht="20.100000000000001" customHeight="1" x14ac:dyDescent="0.45">
      <c r="A245" s="2" t="s">
        <v>488</v>
      </c>
      <c r="B245" s="3">
        <v>1128265940</v>
      </c>
      <c r="C245" s="2" t="s">
        <v>1207</v>
      </c>
      <c r="D245" s="2" t="s">
        <v>1208</v>
      </c>
      <c r="E245" s="4" t="s">
        <v>1209</v>
      </c>
      <c r="F245" s="2" t="s">
        <v>12</v>
      </c>
      <c r="G245" s="2" t="s">
        <v>12</v>
      </c>
      <c r="H245" s="4"/>
      <c r="I245" s="2" t="s">
        <v>492</v>
      </c>
      <c r="J245" s="2">
        <v>3436</v>
      </c>
      <c r="K245" s="2" t="s">
        <v>73</v>
      </c>
    </row>
    <row r="246" spans="1:11" ht="20.100000000000001" customHeight="1" x14ac:dyDescent="0.45">
      <c r="A246" s="2" t="s">
        <v>488</v>
      </c>
      <c r="B246" s="3">
        <v>1128420613</v>
      </c>
      <c r="C246" s="2" t="s">
        <v>1210</v>
      </c>
      <c r="D246" s="2" t="s">
        <v>1211</v>
      </c>
      <c r="E246" s="4" t="s">
        <v>1212</v>
      </c>
      <c r="F246" s="2" t="s">
        <v>12</v>
      </c>
      <c r="G246" s="2" t="s">
        <v>12</v>
      </c>
      <c r="H246" s="4"/>
      <c r="I246" s="2" t="s">
        <v>492</v>
      </c>
      <c r="J246" s="2">
        <v>2020</v>
      </c>
      <c r="K246" s="2" t="s">
        <v>73</v>
      </c>
    </row>
    <row r="247" spans="1:11" ht="20.100000000000001" customHeight="1" x14ac:dyDescent="0.45">
      <c r="A247" s="2" t="s">
        <v>488</v>
      </c>
      <c r="B247" s="3">
        <v>1141516972</v>
      </c>
      <c r="C247" s="2" t="s">
        <v>1213</v>
      </c>
      <c r="D247" s="2" t="s">
        <v>1214</v>
      </c>
      <c r="E247" s="4" t="s">
        <v>1215</v>
      </c>
      <c r="F247" s="2" t="s">
        <v>12</v>
      </c>
      <c r="G247" s="2" t="s">
        <v>12</v>
      </c>
      <c r="H247" s="4"/>
      <c r="I247" s="2" t="s">
        <v>492</v>
      </c>
      <c r="J247" s="2">
        <v>2021</v>
      </c>
      <c r="K247" s="2" t="s">
        <v>73</v>
      </c>
    </row>
    <row r="248" spans="1:11" ht="20.100000000000001" customHeight="1" x14ac:dyDescent="0.45">
      <c r="A248" s="2" t="s">
        <v>488</v>
      </c>
      <c r="B248" s="3">
        <v>1143235309</v>
      </c>
      <c r="C248" s="2" t="s">
        <v>1216</v>
      </c>
      <c r="D248" s="2" t="s">
        <v>1217</v>
      </c>
      <c r="E248" s="4" t="s">
        <v>1218</v>
      </c>
      <c r="F248" s="2" t="s">
        <v>12</v>
      </c>
      <c r="G248" s="2" t="s">
        <v>12</v>
      </c>
      <c r="H248" s="4"/>
      <c r="I248" s="2" t="s">
        <v>492</v>
      </c>
      <c r="J248" s="2">
        <v>2020</v>
      </c>
      <c r="K248" s="2" t="s">
        <v>73</v>
      </c>
    </row>
    <row r="249" spans="1:11" ht="20.100000000000001" customHeight="1" x14ac:dyDescent="0.45">
      <c r="A249" s="2" t="s">
        <v>488</v>
      </c>
      <c r="B249" s="3">
        <v>1143371733</v>
      </c>
      <c r="C249" s="2" t="s">
        <v>1219</v>
      </c>
      <c r="D249" s="2" t="s">
        <v>1220</v>
      </c>
      <c r="E249" s="4" t="s">
        <v>1221</v>
      </c>
      <c r="F249" s="2" t="s">
        <v>12</v>
      </c>
      <c r="G249" s="2" t="s">
        <v>12</v>
      </c>
      <c r="H249" s="4"/>
      <c r="I249" s="2" t="s">
        <v>492</v>
      </c>
      <c r="J249" s="2">
        <v>2020</v>
      </c>
      <c r="K249" s="2" t="s">
        <v>73</v>
      </c>
    </row>
    <row r="250" spans="1:11" ht="20.100000000000001" customHeight="1" x14ac:dyDescent="0.45">
      <c r="A250" s="2" t="s">
        <v>488</v>
      </c>
      <c r="B250" s="3">
        <v>1193547331</v>
      </c>
      <c r="C250" s="2" t="s">
        <v>1222</v>
      </c>
      <c r="D250" s="2" t="s">
        <v>1223</v>
      </c>
      <c r="E250" s="4" t="s">
        <v>1224</v>
      </c>
      <c r="F250" s="2" t="s">
        <v>12</v>
      </c>
      <c r="G250" s="2" t="s">
        <v>12</v>
      </c>
      <c r="H250" s="4"/>
      <c r="I250" s="2" t="s">
        <v>492</v>
      </c>
      <c r="J250" s="2">
        <v>2020</v>
      </c>
      <c r="K250" s="2" t="s">
        <v>73</v>
      </c>
    </row>
    <row r="251" spans="1:11" ht="20.100000000000001" customHeight="1" x14ac:dyDescent="0.45">
      <c r="A251" s="2" t="s">
        <v>488</v>
      </c>
      <c r="B251" s="3">
        <v>1233688333</v>
      </c>
      <c r="C251" s="2" t="s">
        <v>1225</v>
      </c>
      <c r="D251" s="2" t="s">
        <v>1226</v>
      </c>
      <c r="E251" s="4" t="s">
        <v>1227</v>
      </c>
      <c r="F251" s="2" t="s">
        <v>12</v>
      </c>
      <c r="G251" s="2" t="s">
        <v>12</v>
      </c>
      <c r="H251" s="4"/>
      <c r="I251" s="2" t="s">
        <v>492</v>
      </c>
      <c r="J251" s="2">
        <v>2020</v>
      </c>
      <c r="K251" s="2" t="s">
        <v>73</v>
      </c>
    </row>
    <row r="252" spans="1:11" ht="20.100000000000001" customHeight="1" x14ac:dyDescent="0.45">
      <c r="A252" s="2" t="s">
        <v>488</v>
      </c>
      <c r="B252" s="3">
        <v>1233901862</v>
      </c>
      <c r="C252" s="2" t="s">
        <v>1228</v>
      </c>
      <c r="D252" s="2" t="s">
        <v>1229</v>
      </c>
      <c r="E252" s="4" t="s">
        <v>1230</v>
      </c>
      <c r="F252" s="2" t="s">
        <v>12</v>
      </c>
      <c r="G252" s="2" t="s">
        <v>12</v>
      </c>
      <c r="H252" s="4"/>
      <c r="I252" s="2" t="s">
        <v>492</v>
      </c>
      <c r="J252" s="2">
        <v>2028</v>
      </c>
      <c r="K252" s="2" t="s">
        <v>73</v>
      </c>
    </row>
    <row r="253" spans="1:11" ht="20.100000000000001" customHeight="1" x14ac:dyDescent="0.45">
      <c r="A253" s="2" t="s">
        <v>488</v>
      </c>
      <c r="B253" s="3">
        <v>1233907395</v>
      </c>
      <c r="C253" s="2" t="s">
        <v>1231</v>
      </c>
      <c r="D253" s="2" t="s">
        <v>1232</v>
      </c>
      <c r="E253" s="4" t="s">
        <v>1233</v>
      </c>
      <c r="F253" s="2" t="s">
        <v>12</v>
      </c>
      <c r="G253" s="2" t="s">
        <v>12</v>
      </c>
      <c r="H253" s="4"/>
      <c r="I253" s="2" t="s">
        <v>492</v>
      </c>
      <c r="J253" s="2">
        <v>2241</v>
      </c>
      <c r="K253" s="2" t="s">
        <v>73</v>
      </c>
    </row>
    <row r="254" spans="1:11" ht="20.100000000000001" customHeight="1" x14ac:dyDescent="0.45">
      <c r="A254" s="2" t="s">
        <v>488</v>
      </c>
      <c r="B254" s="3">
        <v>1233909318</v>
      </c>
      <c r="C254" s="2" t="s">
        <v>1234</v>
      </c>
      <c r="D254" s="2" t="s">
        <v>1235</v>
      </c>
      <c r="E254" s="4" t="s">
        <v>1236</v>
      </c>
      <c r="F254" s="2" t="s">
        <v>12</v>
      </c>
      <c r="G254" s="2" t="s">
        <v>12</v>
      </c>
      <c r="H254" s="4"/>
      <c r="I254" s="2" t="s">
        <v>492</v>
      </c>
      <c r="J254" s="2">
        <v>2028</v>
      </c>
      <c r="K254" s="2" t="s">
        <v>73</v>
      </c>
    </row>
    <row r="255" spans="1:11" ht="20.100000000000001" customHeight="1" x14ac:dyDescent="0.45">
      <c r="A255" s="2" t="s">
        <v>488</v>
      </c>
      <c r="B255" s="3">
        <v>1234090050</v>
      </c>
      <c r="C255" s="2" t="s">
        <v>1237</v>
      </c>
      <c r="D255" s="2" t="s">
        <v>1238</v>
      </c>
      <c r="E255" s="4" t="s">
        <v>1239</v>
      </c>
      <c r="F255" s="2" t="s">
        <v>12</v>
      </c>
      <c r="G255" s="2" t="s">
        <v>12</v>
      </c>
      <c r="H255" s="4"/>
      <c r="I255" s="2" t="s">
        <v>492</v>
      </c>
      <c r="J255" s="2">
        <v>2018</v>
      </c>
      <c r="K255" s="2" t="s">
        <v>73</v>
      </c>
    </row>
    <row r="256" spans="1:11" ht="20.100000000000001" customHeight="1" x14ac:dyDescent="0.45">
      <c r="A256" s="2" t="s">
        <v>488</v>
      </c>
      <c r="B256" s="3">
        <v>1234894275</v>
      </c>
      <c r="C256" s="2" t="s">
        <v>1240</v>
      </c>
      <c r="D256" s="2" t="s">
        <v>1241</v>
      </c>
      <c r="E256" s="21" t="s">
        <v>1948</v>
      </c>
      <c r="F256" s="2" t="s">
        <v>12</v>
      </c>
      <c r="G256" s="2" t="s">
        <v>12</v>
      </c>
      <c r="H256" s="4"/>
      <c r="I256" s="2" t="s">
        <v>492</v>
      </c>
      <c r="J256" s="2">
        <v>2020</v>
      </c>
      <c r="K256" s="2" t="s">
        <v>73</v>
      </c>
    </row>
    <row r="257" spans="1:11" ht="20.100000000000001" customHeight="1" x14ac:dyDescent="0.45">
      <c r="A257" s="2" t="s">
        <v>488</v>
      </c>
      <c r="B257" s="3">
        <v>1235039915</v>
      </c>
      <c r="C257" s="2" t="s">
        <v>1242</v>
      </c>
      <c r="D257" s="2" t="s">
        <v>1243</v>
      </c>
      <c r="E257" s="4" t="s">
        <v>1244</v>
      </c>
      <c r="F257" s="2" t="s">
        <v>12</v>
      </c>
      <c r="G257" s="2" t="s">
        <v>12</v>
      </c>
      <c r="H257" s="4"/>
      <c r="I257" s="2" t="s">
        <v>492</v>
      </c>
      <c r="J257" s="2">
        <v>2020</v>
      </c>
      <c r="K257" s="2" t="s">
        <v>73</v>
      </c>
    </row>
    <row r="258" spans="1:11" x14ac:dyDescent="0.45">
      <c r="A258" s="2" t="s">
        <v>488</v>
      </c>
      <c r="B258" s="3">
        <v>1193045595</v>
      </c>
      <c r="C258" s="29" t="s">
        <v>1413</v>
      </c>
      <c r="D258" s="29" t="s">
        <v>1950</v>
      </c>
      <c r="E258" s="29" t="s">
        <v>1990</v>
      </c>
      <c r="F258" s="2" t="s">
        <v>12</v>
      </c>
      <c r="G258" s="2" t="s">
        <v>12</v>
      </c>
      <c r="I258" s="2" t="s">
        <v>492</v>
      </c>
      <c r="J258" s="2">
        <v>2138</v>
      </c>
      <c r="K258" s="2" t="s">
        <v>73</v>
      </c>
    </row>
    <row r="259" spans="1:11" x14ac:dyDescent="0.45">
      <c r="A259" s="2" t="s">
        <v>488</v>
      </c>
      <c r="B259" s="3">
        <v>1129500731</v>
      </c>
      <c r="C259" s="29" t="s">
        <v>1303</v>
      </c>
      <c r="D259" s="29" t="s">
        <v>1951</v>
      </c>
      <c r="E259" s="29" t="s">
        <v>1991</v>
      </c>
      <c r="F259" s="2" t="s">
        <v>12</v>
      </c>
      <c r="G259" s="2" t="s">
        <v>12</v>
      </c>
      <c r="I259" s="2" t="s">
        <v>492</v>
      </c>
      <c r="J259" s="2">
        <v>2021</v>
      </c>
      <c r="K259" s="2" t="s">
        <v>73</v>
      </c>
    </row>
    <row r="260" spans="1:11" x14ac:dyDescent="0.45">
      <c r="A260" s="2" t="s">
        <v>488</v>
      </c>
      <c r="B260" s="3">
        <v>1122724152</v>
      </c>
      <c r="C260" s="29" t="s">
        <v>1325</v>
      </c>
      <c r="D260" s="29" t="s">
        <v>1952</v>
      </c>
      <c r="E260" s="29" t="s">
        <v>1992</v>
      </c>
      <c r="F260" s="2" t="s">
        <v>12</v>
      </c>
      <c r="G260" s="2" t="s">
        <v>12</v>
      </c>
      <c r="I260" s="2" t="s">
        <v>492</v>
      </c>
      <c r="J260" s="2">
        <v>2021</v>
      </c>
      <c r="K260" s="2" t="s">
        <v>73</v>
      </c>
    </row>
    <row r="261" spans="1:11" x14ac:dyDescent="0.45">
      <c r="A261" s="2" t="s">
        <v>488</v>
      </c>
      <c r="B261" s="3">
        <v>1122649359</v>
      </c>
      <c r="C261" s="29" t="s">
        <v>1421</v>
      </c>
      <c r="D261" s="29" t="s">
        <v>1953</v>
      </c>
      <c r="E261" s="29" t="s">
        <v>1993</v>
      </c>
      <c r="F261" s="2" t="s">
        <v>12</v>
      </c>
      <c r="G261" s="2" t="s">
        <v>12</v>
      </c>
      <c r="I261" s="2" t="s">
        <v>492</v>
      </c>
      <c r="J261" s="2">
        <v>2021</v>
      </c>
      <c r="K261" s="2" t="s">
        <v>73</v>
      </c>
    </row>
    <row r="262" spans="1:11" x14ac:dyDescent="0.45">
      <c r="A262" s="2" t="s">
        <v>488</v>
      </c>
      <c r="B262" s="3">
        <v>1090441409</v>
      </c>
      <c r="C262" s="29" t="s">
        <v>1575</v>
      </c>
      <c r="D262" s="29" t="s">
        <v>1954</v>
      </c>
      <c r="E262" s="29" t="s">
        <v>1994</v>
      </c>
      <c r="F262" s="2" t="s">
        <v>12</v>
      </c>
      <c r="G262" s="2" t="s">
        <v>12</v>
      </c>
      <c r="I262" s="2" t="s">
        <v>492</v>
      </c>
      <c r="J262" s="2">
        <v>2021</v>
      </c>
      <c r="K262" s="2" t="s">
        <v>73</v>
      </c>
    </row>
    <row r="263" spans="1:11" x14ac:dyDescent="0.45">
      <c r="A263" s="2" t="s">
        <v>488</v>
      </c>
      <c r="B263" s="3">
        <v>1080022226</v>
      </c>
      <c r="C263" s="29" t="s">
        <v>1517</v>
      </c>
      <c r="D263" s="29" t="s">
        <v>1955</v>
      </c>
      <c r="E263" s="29" t="s">
        <v>1995</v>
      </c>
      <c r="F263" s="2" t="s">
        <v>12</v>
      </c>
      <c r="G263" s="2" t="s">
        <v>12</v>
      </c>
      <c r="I263" s="2" t="s">
        <v>492</v>
      </c>
      <c r="J263" s="2">
        <v>2021</v>
      </c>
      <c r="K263" s="2" t="s">
        <v>73</v>
      </c>
    </row>
    <row r="264" spans="1:11" x14ac:dyDescent="0.45">
      <c r="A264" s="2" t="s">
        <v>488</v>
      </c>
      <c r="B264" s="3">
        <v>1063619077</v>
      </c>
      <c r="C264" s="29" t="s">
        <v>1589</v>
      </c>
      <c r="D264" s="29" t="s">
        <v>1956</v>
      </c>
      <c r="E264" s="29" t="s">
        <v>1996</v>
      </c>
      <c r="F264" s="2" t="s">
        <v>12</v>
      </c>
      <c r="G264" s="2" t="s">
        <v>12</v>
      </c>
      <c r="I264" s="2" t="s">
        <v>492</v>
      </c>
      <c r="J264" s="2">
        <v>2024</v>
      </c>
      <c r="K264" s="2" t="s">
        <v>73</v>
      </c>
    </row>
    <row r="265" spans="1:11" x14ac:dyDescent="0.45">
      <c r="A265" s="2" t="s">
        <v>488</v>
      </c>
      <c r="B265" s="3">
        <v>1054708319</v>
      </c>
      <c r="C265" s="29" t="s">
        <v>1329</v>
      </c>
      <c r="D265" s="29" t="s">
        <v>1957</v>
      </c>
      <c r="E265" s="29" t="s">
        <v>1997</v>
      </c>
      <c r="F265" s="2" t="s">
        <v>12</v>
      </c>
      <c r="G265" s="2" t="s">
        <v>12</v>
      </c>
      <c r="I265" s="2" t="s">
        <v>492</v>
      </c>
      <c r="J265" s="2">
        <v>2022</v>
      </c>
      <c r="K265" s="2" t="s">
        <v>73</v>
      </c>
    </row>
    <row r="266" spans="1:11" x14ac:dyDescent="0.45">
      <c r="A266" s="2" t="s">
        <v>488</v>
      </c>
      <c r="B266" s="3">
        <v>1031812916</v>
      </c>
      <c r="C266" s="29" t="s">
        <v>1429</v>
      </c>
      <c r="D266" s="29" t="s">
        <v>1958</v>
      </c>
      <c r="E266" s="29" t="s">
        <v>1998</v>
      </c>
      <c r="F266" s="2" t="s">
        <v>12</v>
      </c>
      <c r="G266" s="2" t="s">
        <v>12</v>
      </c>
      <c r="I266" s="2" t="s">
        <v>492</v>
      </c>
      <c r="J266" s="2">
        <v>3156</v>
      </c>
      <c r="K266" s="2" t="s">
        <v>73</v>
      </c>
    </row>
    <row r="267" spans="1:11" x14ac:dyDescent="0.45">
      <c r="A267" s="2" t="s">
        <v>488</v>
      </c>
      <c r="B267" s="3">
        <v>1029143869</v>
      </c>
      <c r="C267" s="29" t="s">
        <v>1571</v>
      </c>
      <c r="D267" s="29" t="s">
        <v>1959</v>
      </c>
      <c r="E267" s="29" t="s">
        <v>1999</v>
      </c>
      <c r="F267" s="2" t="s">
        <v>12</v>
      </c>
      <c r="G267" s="2" t="s">
        <v>12</v>
      </c>
      <c r="I267" s="2" t="s">
        <v>492</v>
      </c>
      <c r="J267" s="2">
        <v>2024</v>
      </c>
      <c r="K267" s="2" t="s">
        <v>73</v>
      </c>
    </row>
    <row r="268" spans="1:11" x14ac:dyDescent="0.45">
      <c r="A268" s="2" t="s">
        <v>488</v>
      </c>
      <c r="B268" s="3">
        <v>1024489562</v>
      </c>
      <c r="C268" s="29" t="s">
        <v>1653</v>
      </c>
      <c r="D268" s="29" t="s">
        <v>1960</v>
      </c>
      <c r="E268" s="29" t="s">
        <v>2000</v>
      </c>
      <c r="F268" s="2" t="s">
        <v>12</v>
      </c>
      <c r="G268" s="2" t="s">
        <v>12</v>
      </c>
      <c r="I268" s="2" t="s">
        <v>492</v>
      </c>
      <c r="J268" s="2">
        <v>2024</v>
      </c>
      <c r="K268" s="2" t="s">
        <v>73</v>
      </c>
    </row>
    <row r="269" spans="1:11" x14ac:dyDescent="0.45">
      <c r="A269" s="2" t="s">
        <v>488</v>
      </c>
      <c r="B269" s="3">
        <v>1023866150</v>
      </c>
      <c r="C269" s="29" t="s">
        <v>1401</v>
      </c>
      <c r="D269" s="29" t="s">
        <v>1961</v>
      </c>
      <c r="E269" s="29" t="s">
        <v>2001</v>
      </c>
      <c r="F269" s="2" t="s">
        <v>12</v>
      </c>
      <c r="G269" s="2" t="s">
        <v>12</v>
      </c>
      <c r="I269" s="2" t="s">
        <v>492</v>
      </c>
      <c r="J269" s="2">
        <v>3156</v>
      </c>
      <c r="K269" s="2" t="s">
        <v>73</v>
      </c>
    </row>
    <row r="270" spans="1:11" x14ac:dyDescent="0.45">
      <c r="A270" s="2" t="s">
        <v>488</v>
      </c>
      <c r="B270" s="3">
        <v>1022444646</v>
      </c>
      <c r="C270" s="29" t="s">
        <v>1323</v>
      </c>
      <c r="D270" s="29" t="s">
        <v>1962</v>
      </c>
      <c r="E270" s="29" t="s">
        <v>2002</v>
      </c>
      <c r="F270" s="2" t="s">
        <v>12</v>
      </c>
      <c r="G270" s="2" t="s">
        <v>12</v>
      </c>
      <c r="I270" s="2" t="s">
        <v>492</v>
      </c>
      <c r="J270" s="2">
        <v>3156</v>
      </c>
      <c r="K270" s="2" t="s">
        <v>73</v>
      </c>
    </row>
    <row r="271" spans="1:11" x14ac:dyDescent="0.45">
      <c r="A271" s="2" t="s">
        <v>488</v>
      </c>
      <c r="B271" s="3">
        <v>1022402548</v>
      </c>
      <c r="C271" s="29" t="s">
        <v>1515</v>
      </c>
      <c r="D271" s="29" t="s">
        <v>1963</v>
      </c>
      <c r="E271" s="29" t="s">
        <v>2003</v>
      </c>
      <c r="F271" s="2" t="s">
        <v>12</v>
      </c>
      <c r="G271" s="2" t="s">
        <v>12</v>
      </c>
      <c r="I271" s="2" t="s">
        <v>492</v>
      </c>
      <c r="J271" s="2">
        <v>2021</v>
      </c>
      <c r="K271" s="2" t="s">
        <v>73</v>
      </c>
    </row>
    <row r="272" spans="1:11" x14ac:dyDescent="0.45">
      <c r="A272" s="2" t="s">
        <v>488</v>
      </c>
      <c r="B272" s="3">
        <v>1018491243</v>
      </c>
      <c r="C272" s="29" t="s">
        <v>1597</v>
      </c>
      <c r="D272" s="29" t="s">
        <v>1964</v>
      </c>
      <c r="E272" s="29" t="s">
        <v>2004</v>
      </c>
      <c r="F272" s="2" t="s">
        <v>12</v>
      </c>
      <c r="G272" s="2" t="s">
        <v>12</v>
      </c>
      <c r="I272" s="2" t="s">
        <v>492</v>
      </c>
      <c r="J272" s="2">
        <v>2021</v>
      </c>
      <c r="K272" s="2" t="s">
        <v>73</v>
      </c>
    </row>
    <row r="273" spans="1:11" x14ac:dyDescent="0.45">
      <c r="A273" s="2" t="s">
        <v>488</v>
      </c>
      <c r="B273" s="3">
        <v>1018442964</v>
      </c>
      <c r="C273" s="29" t="s">
        <v>1649</v>
      </c>
      <c r="D273" s="29" t="s">
        <v>1965</v>
      </c>
      <c r="E273" s="29" t="s">
        <v>2005</v>
      </c>
      <c r="F273" s="2" t="s">
        <v>12</v>
      </c>
      <c r="G273" s="2" t="s">
        <v>12</v>
      </c>
      <c r="I273" s="2" t="s">
        <v>492</v>
      </c>
      <c r="J273" s="2">
        <v>2021</v>
      </c>
      <c r="K273" s="2" t="s">
        <v>73</v>
      </c>
    </row>
    <row r="274" spans="1:11" x14ac:dyDescent="0.45">
      <c r="A274" s="2" t="s">
        <v>488</v>
      </c>
      <c r="B274" s="3">
        <v>1018417343</v>
      </c>
      <c r="C274" s="29" t="s">
        <v>1509</v>
      </c>
      <c r="D274" s="29" t="s">
        <v>1966</v>
      </c>
      <c r="E274" s="29" t="s">
        <v>2006</v>
      </c>
      <c r="F274" s="2" t="s">
        <v>12</v>
      </c>
      <c r="G274" s="2" t="s">
        <v>12</v>
      </c>
      <c r="I274" s="2" t="s">
        <v>492</v>
      </c>
      <c r="J274" s="2">
        <v>2021</v>
      </c>
      <c r="K274" s="2" t="s">
        <v>73</v>
      </c>
    </row>
    <row r="275" spans="1:11" x14ac:dyDescent="0.45">
      <c r="A275" s="2" t="s">
        <v>488</v>
      </c>
      <c r="B275" s="3">
        <v>1016951541</v>
      </c>
      <c r="C275" s="29" t="s">
        <v>1403</v>
      </c>
      <c r="D275" s="29" t="s">
        <v>1967</v>
      </c>
      <c r="E275" s="29" t="s">
        <v>2007</v>
      </c>
      <c r="F275" s="2" t="s">
        <v>12</v>
      </c>
      <c r="G275" s="2" t="s">
        <v>12</v>
      </c>
      <c r="I275" s="2" t="s">
        <v>492</v>
      </c>
      <c r="J275" s="2">
        <v>2024</v>
      </c>
      <c r="K275" s="2" t="s">
        <v>73</v>
      </c>
    </row>
    <row r="276" spans="1:11" x14ac:dyDescent="0.45">
      <c r="A276" s="2" t="s">
        <v>488</v>
      </c>
      <c r="B276" s="3">
        <v>1015066212</v>
      </c>
      <c r="C276" s="29" t="s">
        <v>1499</v>
      </c>
      <c r="D276" s="29" t="s">
        <v>1968</v>
      </c>
      <c r="E276" s="29" t="s">
        <v>2008</v>
      </c>
      <c r="F276" s="2" t="s">
        <v>12</v>
      </c>
      <c r="G276" s="2" t="s">
        <v>12</v>
      </c>
      <c r="I276" s="2" t="s">
        <v>492</v>
      </c>
      <c r="J276" s="2">
        <v>3156</v>
      </c>
      <c r="K276" s="2" t="s">
        <v>73</v>
      </c>
    </row>
    <row r="277" spans="1:11" x14ac:dyDescent="0.45">
      <c r="A277" s="2" t="s">
        <v>488</v>
      </c>
      <c r="B277" s="3">
        <v>1014206594</v>
      </c>
      <c r="C277" s="29" t="s">
        <v>1419</v>
      </c>
      <c r="D277" s="2" t="s">
        <v>527</v>
      </c>
      <c r="E277" s="29" t="s">
        <v>2009</v>
      </c>
      <c r="F277" s="2" t="s">
        <v>12</v>
      </c>
      <c r="G277" s="2" t="s">
        <v>12</v>
      </c>
      <c r="I277" s="2" t="s">
        <v>492</v>
      </c>
      <c r="J277" s="2">
        <v>2021</v>
      </c>
      <c r="K277" s="2" t="s">
        <v>73</v>
      </c>
    </row>
    <row r="278" spans="1:11" x14ac:dyDescent="0.45">
      <c r="A278" s="2" t="s">
        <v>488</v>
      </c>
      <c r="B278" s="3">
        <v>1007646014</v>
      </c>
      <c r="C278" s="29" t="s">
        <v>1497</v>
      </c>
      <c r="D278" s="29" t="s">
        <v>1969</v>
      </c>
      <c r="E278" s="29" t="s">
        <v>2010</v>
      </c>
      <c r="F278" s="2" t="s">
        <v>12</v>
      </c>
      <c r="G278" s="2" t="s">
        <v>12</v>
      </c>
      <c r="I278" s="2" t="s">
        <v>492</v>
      </c>
      <c r="J278" s="2">
        <v>2021</v>
      </c>
      <c r="K278" s="2" t="s">
        <v>73</v>
      </c>
    </row>
    <row r="279" spans="1:11" x14ac:dyDescent="0.45">
      <c r="A279" s="2" t="s">
        <v>488</v>
      </c>
      <c r="B279" s="3">
        <v>1007434371</v>
      </c>
      <c r="C279" s="29" t="s">
        <v>1573</v>
      </c>
      <c r="D279" s="29" t="s">
        <v>1970</v>
      </c>
      <c r="E279" s="29" t="s">
        <v>2011</v>
      </c>
      <c r="F279" s="2" t="s">
        <v>12</v>
      </c>
      <c r="G279" s="2" t="s">
        <v>12</v>
      </c>
      <c r="I279" s="2" t="s">
        <v>492</v>
      </c>
      <c r="J279" s="2">
        <v>2021</v>
      </c>
      <c r="K279" s="2" t="s">
        <v>73</v>
      </c>
    </row>
    <row r="280" spans="1:11" x14ac:dyDescent="0.45">
      <c r="A280" s="2" t="s">
        <v>488</v>
      </c>
      <c r="B280" s="3">
        <v>1004368488</v>
      </c>
      <c r="C280" s="29" t="s">
        <v>1663</v>
      </c>
      <c r="D280" s="29" t="s">
        <v>1971</v>
      </c>
      <c r="E280" s="29" t="s">
        <v>2012</v>
      </c>
      <c r="F280" s="2" t="s">
        <v>12</v>
      </c>
      <c r="G280" s="2" t="s">
        <v>12</v>
      </c>
      <c r="I280" s="2" t="s">
        <v>492</v>
      </c>
      <c r="J280" s="2">
        <v>2022</v>
      </c>
      <c r="K280" s="2" t="s">
        <v>73</v>
      </c>
    </row>
    <row r="281" spans="1:11" x14ac:dyDescent="0.45">
      <c r="A281" s="2" t="s">
        <v>488</v>
      </c>
      <c r="B281" s="3">
        <v>1003740456</v>
      </c>
      <c r="C281" s="29" t="s">
        <v>1507</v>
      </c>
      <c r="D281" s="29" t="s">
        <v>1972</v>
      </c>
      <c r="E281" s="29" t="s">
        <v>2013</v>
      </c>
      <c r="F281" s="2" t="s">
        <v>12</v>
      </c>
      <c r="G281" s="2" t="s">
        <v>12</v>
      </c>
      <c r="I281" s="2" t="s">
        <v>492</v>
      </c>
      <c r="J281" s="2">
        <v>2022</v>
      </c>
      <c r="K281" s="2" t="s">
        <v>73</v>
      </c>
    </row>
    <row r="282" spans="1:11" x14ac:dyDescent="0.45">
      <c r="A282" s="2" t="s">
        <v>488</v>
      </c>
      <c r="B282" s="3">
        <v>1000944472</v>
      </c>
      <c r="C282" s="29" t="s">
        <v>1669</v>
      </c>
      <c r="D282" s="29" t="s">
        <v>1973</v>
      </c>
      <c r="E282" s="29" t="s">
        <v>2014</v>
      </c>
      <c r="F282" s="2" t="s">
        <v>12</v>
      </c>
      <c r="G282" s="2" t="s">
        <v>12</v>
      </c>
      <c r="I282" s="2" t="s">
        <v>492</v>
      </c>
      <c r="J282" s="2">
        <v>2021</v>
      </c>
      <c r="K282" s="2" t="s">
        <v>73</v>
      </c>
    </row>
    <row r="283" spans="1:11" x14ac:dyDescent="0.45">
      <c r="A283" s="2" t="s">
        <v>488</v>
      </c>
      <c r="B283" s="3">
        <v>1000380971</v>
      </c>
      <c r="C283" s="29" t="s">
        <v>1427</v>
      </c>
      <c r="D283" s="29" t="s">
        <v>1974</v>
      </c>
      <c r="E283" s="29" t="s">
        <v>2015</v>
      </c>
      <c r="F283" s="2" t="s">
        <v>12</v>
      </c>
      <c r="G283" s="2" t="s">
        <v>12</v>
      </c>
      <c r="I283" s="2" t="s">
        <v>492</v>
      </c>
      <c r="J283" s="2">
        <v>2021</v>
      </c>
      <c r="K283" s="2" t="s">
        <v>73</v>
      </c>
    </row>
    <row r="284" spans="1:11" x14ac:dyDescent="0.45">
      <c r="A284" s="2" t="s">
        <v>488</v>
      </c>
      <c r="B284" s="3">
        <v>79171343</v>
      </c>
      <c r="C284" s="29" t="s">
        <v>1437</v>
      </c>
      <c r="D284" s="29" t="s">
        <v>1975</v>
      </c>
      <c r="E284" s="29" t="s">
        <v>2016</v>
      </c>
      <c r="F284" s="2" t="s">
        <v>12</v>
      </c>
      <c r="G284" s="2" t="s">
        <v>12</v>
      </c>
      <c r="I284" s="2" t="s">
        <v>492</v>
      </c>
      <c r="J284" s="2">
        <v>3156</v>
      </c>
      <c r="K284" s="2" t="s">
        <v>73</v>
      </c>
    </row>
    <row r="285" spans="1:11" x14ac:dyDescent="0.45">
      <c r="A285" s="2" t="s">
        <v>488</v>
      </c>
      <c r="B285" s="3">
        <v>79132253</v>
      </c>
      <c r="C285" s="29" t="s">
        <v>1501</v>
      </c>
      <c r="D285" s="29" t="s">
        <v>1976</v>
      </c>
      <c r="E285" s="29" t="s">
        <v>2017</v>
      </c>
      <c r="F285" s="2" t="s">
        <v>12</v>
      </c>
      <c r="G285" s="2" t="s">
        <v>12</v>
      </c>
      <c r="I285" s="2" t="s">
        <v>492</v>
      </c>
      <c r="J285" s="2">
        <v>2021</v>
      </c>
      <c r="K285" s="2" t="s">
        <v>73</v>
      </c>
    </row>
    <row r="286" spans="1:11" x14ac:dyDescent="0.45">
      <c r="A286" s="2" t="s">
        <v>488</v>
      </c>
      <c r="B286" s="3">
        <v>72303517</v>
      </c>
      <c r="C286" s="29" t="s">
        <v>1425</v>
      </c>
      <c r="D286" s="29" t="s">
        <v>1977</v>
      </c>
      <c r="E286" s="29" t="s">
        <v>2018</v>
      </c>
      <c r="F286" s="2" t="s">
        <v>12</v>
      </c>
      <c r="G286" s="2" t="s">
        <v>12</v>
      </c>
      <c r="I286" s="2" t="s">
        <v>492</v>
      </c>
      <c r="J286" s="2">
        <v>2021</v>
      </c>
      <c r="K286" s="2" t="s">
        <v>73</v>
      </c>
    </row>
    <row r="287" spans="1:11" x14ac:dyDescent="0.45">
      <c r="A287" s="2" t="s">
        <v>488</v>
      </c>
      <c r="B287" s="3">
        <v>64578281</v>
      </c>
      <c r="C287" s="29" t="s">
        <v>1655</v>
      </c>
      <c r="D287" s="29" t="s">
        <v>1978</v>
      </c>
      <c r="E287" s="29" t="s">
        <v>2019</v>
      </c>
      <c r="F287" s="2" t="s">
        <v>12</v>
      </c>
      <c r="G287" s="2" t="s">
        <v>12</v>
      </c>
      <c r="I287" s="2" t="s">
        <v>492</v>
      </c>
      <c r="J287" s="2">
        <v>3156</v>
      </c>
      <c r="K287" s="2" t="s">
        <v>73</v>
      </c>
    </row>
    <row r="288" spans="1:11" x14ac:dyDescent="0.45">
      <c r="A288" s="2" t="s">
        <v>488</v>
      </c>
      <c r="B288" s="3">
        <v>57462390</v>
      </c>
      <c r="C288" s="29" t="s">
        <v>1505</v>
      </c>
      <c r="D288" s="29" t="s">
        <v>1979</v>
      </c>
      <c r="E288" s="29" t="s">
        <v>2020</v>
      </c>
      <c r="F288" s="2" t="s">
        <v>12</v>
      </c>
      <c r="G288" s="2" t="s">
        <v>12</v>
      </c>
      <c r="I288" s="2" t="s">
        <v>492</v>
      </c>
      <c r="J288" s="2">
        <v>3156</v>
      </c>
      <c r="K288" s="2" t="s">
        <v>73</v>
      </c>
    </row>
    <row r="289" spans="1:11" x14ac:dyDescent="0.45">
      <c r="A289" s="2" t="s">
        <v>488</v>
      </c>
      <c r="B289" s="3">
        <v>53107816</v>
      </c>
      <c r="C289" s="29" t="s">
        <v>1800</v>
      </c>
      <c r="D289" s="29" t="s">
        <v>1980</v>
      </c>
      <c r="E289" s="29" t="s">
        <v>2021</v>
      </c>
      <c r="F289" s="2" t="s">
        <v>12</v>
      </c>
      <c r="G289" s="2" t="s">
        <v>12</v>
      </c>
      <c r="I289" s="2" t="s">
        <v>492</v>
      </c>
      <c r="J289" s="2">
        <v>3156</v>
      </c>
      <c r="K289" s="2" t="s">
        <v>73</v>
      </c>
    </row>
    <row r="290" spans="1:11" x14ac:dyDescent="0.45">
      <c r="A290" s="2" t="s">
        <v>488</v>
      </c>
      <c r="B290" s="3">
        <v>7016718</v>
      </c>
      <c r="C290" s="29" t="s">
        <v>1315</v>
      </c>
      <c r="D290" s="29" t="s">
        <v>1981</v>
      </c>
      <c r="E290" s="29" t="s">
        <v>2022</v>
      </c>
      <c r="F290" s="2" t="s">
        <v>12</v>
      </c>
      <c r="G290" s="2" t="s">
        <v>12</v>
      </c>
      <c r="I290" s="2" t="s">
        <v>492</v>
      </c>
      <c r="J290" s="2">
        <v>2021</v>
      </c>
      <c r="K290" s="2" t="s">
        <v>73</v>
      </c>
    </row>
    <row r="291" spans="1:11" x14ac:dyDescent="0.45">
      <c r="A291" s="2" t="s">
        <v>488</v>
      </c>
      <c r="B291" s="3">
        <v>6467161</v>
      </c>
      <c r="C291" s="29" t="s">
        <v>1746</v>
      </c>
      <c r="D291" s="29" t="s">
        <v>1982</v>
      </c>
      <c r="E291" s="29" t="s">
        <v>2023</v>
      </c>
      <c r="F291" s="2" t="s">
        <v>12</v>
      </c>
      <c r="G291" s="2" t="s">
        <v>12</v>
      </c>
      <c r="I291" s="2" t="s">
        <v>492</v>
      </c>
      <c r="J291" s="2">
        <v>2021</v>
      </c>
      <c r="K291" s="2" t="s">
        <v>73</v>
      </c>
    </row>
    <row r="292" spans="1:11" x14ac:dyDescent="0.45">
      <c r="A292" s="2" t="s">
        <v>488</v>
      </c>
      <c r="B292" s="3">
        <v>5828801</v>
      </c>
      <c r="C292" s="29" t="s">
        <v>1657</v>
      </c>
      <c r="D292" s="29" t="s">
        <v>1983</v>
      </c>
      <c r="E292" s="29" t="s">
        <v>2024</v>
      </c>
      <c r="F292" s="2" t="s">
        <v>12</v>
      </c>
      <c r="G292" s="2" t="s">
        <v>12</v>
      </c>
      <c r="I292" s="2" t="s">
        <v>492</v>
      </c>
      <c r="J292" s="2">
        <v>3156</v>
      </c>
      <c r="K292" s="2" t="s">
        <v>73</v>
      </c>
    </row>
    <row r="293" spans="1:11" x14ac:dyDescent="0.45">
      <c r="A293" s="2" t="s">
        <v>488</v>
      </c>
      <c r="B293" s="3">
        <v>5204313</v>
      </c>
      <c r="C293" s="29" t="s">
        <v>1591</v>
      </c>
      <c r="D293" s="29" t="s">
        <v>1984</v>
      </c>
      <c r="E293" s="29" t="s">
        <v>2025</v>
      </c>
      <c r="F293" s="2" t="s">
        <v>12</v>
      </c>
      <c r="G293" s="2" t="s">
        <v>12</v>
      </c>
      <c r="I293" s="2" t="s">
        <v>492</v>
      </c>
      <c r="J293" s="2">
        <v>3156</v>
      </c>
      <c r="K293" s="2" t="s">
        <v>73</v>
      </c>
    </row>
    <row r="294" spans="1:11" x14ac:dyDescent="0.45">
      <c r="A294" s="2" t="s">
        <v>488</v>
      </c>
      <c r="B294" s="3">
        <v>5046048</v>
      </c>
      <c r="C294" s="29" t="s">
        <v>1519</v>
      </c>
      <c r="D294" s="29" t="s">
        <v>1985</v>
      </c>
      <c r="E294" s="29" t="s">
        <v>2026</v>
      </c>
      <c r="F294" s="2" t="s">
        <v>12</v>
      </c>
      <c r="G294" s="2" t="s">
        <v>12</v>
      </c>
      <c r="I294" s="2" t="s">
        <v>492</v>
      </c>
      <c r="J294" s="2">
        <v>3156</v>
      </c>
      <c r="K294" s="2" t="s">
        <v>73</v>
      </c>
    </row>
    <row r="295" spans="1:11" x14ac:dyDescent="0.45">
      <c r="A295" s="2" t="s">
        <v>488</v>
      </c>
      <c r="B295" s="3">
        <v>4154113</v>
      </c>
      <c r="C295" s="29" t="s">
        <v>1521</v>
      </c>
      <c r="D295" s="29" t="s">
        <v>1986</v>
      </c>
      <c r="E295" s="29" t="s">
        <v>2027</v>
      </c>
      <c r="F295" s="2" t="s">
        <v>12</v>
      </c>
      <c r="G295" s="2" t="s">
        <v>12</v>
      </c>
      <c r="I295" s="2" t="s">
        <v>492</v>
      </c>
      <c r="J295" s="2">
        <v>2021</v>
      </c>
      <c r="K295" s="2" t="s">
        <v>73</v>
      </c>
    </row>
    <row r="296" spans="1:11" x14ac:dyDescent="0.45">
      <c r="A296" s="2" t="s">
        <v>488</v>
      </c>
      <c r="B296" s="3">
        <v>774848</v>
      </c>
      <c r="C296" s="29" t="s">
        <v>1317</v>
      </c>
      <c r="D296" s="29" t="s">
        <v>1987</v>
      </c>
      <c r="E296" s="29" t="s">
        <v>2028</v>
      </c>
      <c r="F296" s="2" t="s">
        <v>12</v>
      </c>
      <c r="G296" s="2" t="s">
        <v>12</v>
      </c>
      <c r="I296" s="2" t="s">
        <v>492</v>
      </c>
      <c r="J296" s="2">
        <v>2021</v>
      </c>
      <c r="K296" s="2" t="s">
        <v>73</v>
      </c>
    </row>
    <row r="297" spans="1:11" x14ac:dyDescent="0.45">
      <c r="A297" s="2" t="s">
        <v>488</v>
      </c>
      <c r="B297" s="3">
        <v>317591</v>
      </c>
      <c r="C297" s="29" t="s">
        <v>1742</v>
      </c>
      <c r="D297" s="29" t="s">
        <v>1988</v>
      </c>
      <c r="E297" s="29" t="s">
        <v>2029</v>
      </c>
      <c r="F297" s="2" t="s">
        <v>12</v>
      </c>
      <c r="G297" s="2" t="s">
        <v>12</v>
      </c>
      <c r="I297" s="2" t="s">
        <v>492</v>
      </c>
      <c r="J297" s="2">
        <v>2021</v>
      </c>
      <c r="K297" s="2" t="s">
        <v>73</v>
      </c>
    </row>
    <row r="298" spans="1:11" x14ac:dyDescent="0.45">
      <c r="A298" s="2" t="s">
        <v>488</v>
      </c>
      <c r="B298" s="3">
        <v>1000253087</v>
      </c>
      <c r="C298" s="29" t="s">
        <v>1423</v>
      </c>
      <c r="D298" s="29" t="s">
        <v>1989</v>
      </c>
      <c r="E298" s="29" t="s">
        <v>2030</v>
      </c>
      <c r="F298" s="2" t="s">
        <v>12</v>
      </c>
      <c r="G298" s="2" t="s">
        <v>12</v>
      </c>
      <c r="I298" s="2" t="s">
        <v>492</v>
      </c>
      <c r="J298" s="2">
        <v>2021</v>
      </c>
      <c r="K298" s="2" t="s">
        <v>73</v>
      </c>
    </row>
    <row r="299" spans="1:11" x14ac:dyDescent="0.45">
      <c r="A299" s="2" t="s">
        <v>488</v>
      </c>
      <c r="B299" s="3">
        <v>1012407746</v>
      </c>
      <c r="C299" s="29" t="s">
        <v>1299</v>
      </c>
      <c r="D299" s="29" t="s">
        <v>2031</v>
      </c>
      <c r="E299" s="29" t="s">
        <v>2054</v>
      </c>
      <c r="F299" s="2" t="s">
        <v>12</v>
      </c>
      <c r="G299" s="2" t="s">
        <v>12</v>
      </c>
      <c r="I299" s="2" t="s">
        <v>492</v>
      </c>
      <c r="J299" s="2">
        <v>2022</v>
      </c>
      <c r="K299" s="2" t="s">
        <v>73</v>
      </c>
    </row>
    <row r="300" spans="1:11" x14ac:dyDescent="0.45">
      <c r="A300" s="2" t="s">
        <v>488</v>
      </c>
      <c r="B300" s="3">
        <v>1101754273</v>
      </c>
      <c r="C300" s="29" t="s">
        <v>1305</v>
      </c>
      <c r="D300" s="29" t="s">
        <v>2032</v>
      </c>
      <c r="E300" s="29" t="s">
        <v>2055</v>
      </c>
      <c r="F300" s="2" t="s">
        <v>12</v>
      </c>
      <c r="G300" s="2" t="s">
        <v>12</v>
      </c>
      <c r="I300" s="2" t="s">
        <v>492</v>
      </c>
      <c r="J300" s="2">
        <v>2022</v>
      </c>
      <c r="K300" s="2" t="s">
        <v>73</v>
      </c>
    </row>
    <row r="301" spans="1:11" x14ac:dyDescent="0.45">
      <c r="A301" s="2" t="s">
        <v>488</v>
      </c>
      <c r="B301" s="3">
        <v>52351654</v>
      </c>
      <c r="C301" s="29" t="s">
        <v>1297</v>
      </c>
      <c r="D301" s="29" t="s">
        <v>2033</v>
      </c>
      <c r="E301" s="29" t="s">
        <v>2056</v>
      </c>
      <c r="F301" s="2" t="s">
        <v>12</v>
      </c>
      <c r="G301" s="2" t="s">
        <v>12</v>
      </c>
      <c r="I301" s="2" t="s">
        <v>492</v>
      </c>
      <c r="J301" s="2">
        <v>2241</v>
      </c>
      <c r="K301" s="2" t="s">
        <v>73</v>
      </c>
    </row>
    <row r="302" spans="1:11" x14ac:dyDescent="0.45">
      <c r="A302" s="2" t="s">
        <v>488</v>
      </c>
      <c r="B302" s="3">
        <v>1192899760</v>
      </c>
      <c r="C302" s="29" t="s">
        <v>1301</v>
      </c>
      <c r="D302" s="29" t="s">
        <v>2034</v>
      </c>
      <c r="E302" s="29" t="s">
        <v>1949</v>
      </c>
      <c r="F302" s="2" t="s">
        <v>12</v>
      </c>
      <c r="G302" s="2" t="s">
        <v>12</v>
      </c>
      <c r="I302" s="2" t="s">
        <v>492</v>
      </c>
      <c r="J302" s="2">
        <v>2021</v>
      </c>
      <c r="K302" s="2" t="s">
        <v>73</v>
      </c>
    </row>
    <row r="303" spans="1:11" x14ac:dyDescent="0.45">
      <c r="A303" s="2" t="s">
        <v>488</v>
      </c>
      <c r="B303" s="3">
        <v>79564809</v>
      </c>
      <c r="C303" s="29" t="s">
        <v>1770</v>
      </c>
      <c r="D303" s="29" t="s">
        <v>2035</v>
      </c>
      <c r="E303" s="29" t="s">
        <v>2057</v>
      </c>
      <c r="F303" s="2" t="s">
        <v>12</v>
      </c>
      <c r="G303" s="2" t="s">
        <v>12</v>
      </c>
      <c r="I303" s="2" t="s">
        <v>492</v>
      </c>
      <c r="J303" s="2">
        <v>2021</v>
      </c>
      <c r="K303" s="2" t="s">
        <v>73</v>
      </c>
    </row>
    <row r="304" spans="1:11" x14ac:dyDescent="0.45">
      <c r="A304" s="2" t="s">
        <v>488</v>
      </c>
      <c r="B304" s="3">
        <v>79733994</v>
      </c>
      <c r="C304" s="29" t="s">
        <v>1802</v>
      </c>
      <c r="D304" s="29" t="s">
        <v>2036</v>
      </c>
      <c r="E304" s="29" t="s">
        <v>2058</v>
      </c>
      <c r="F304" s="2" t="s">
        <v>12</v>
      </c>
      <c r="G304" s="2" t="s">
        <v>12</v>
      </c>
      <c r="I304" s="2" t="s">
        <v>492</v>
      </c>
      <c r="J304" s="2">
        <v>2020</v>
      </c>
      <c r="K304" s="2" t="s">
        <v>73</v>
      </c>
    </row>
    <row r="305" spans="1:11" x14ac:dyDescent="0.45">
      <c r="A305" s="2" t="s">
        <v>488</v>
      </c>
      <c r="B305" s="3">
        <v>80174754</v>
      </c>
      <c r="C305" s="29" t="s">
        <v>1758</v>
      </c>
      <c r="D305" s="29" t="s">
        <v>2037</v>
      </c>
      <c r="E305" s="29" t="s">
        <v>2059</v>
      </c>
      <c r="F305" s="2" t="s">
        <v>12</v>
      </c>
      <c r="G305" s="2" t="s">
        <v>12</v>
      </c>
      <c r="I305" s="2" t="s">
        <v>492</v>
      </c>
      <c r="J305" s="2">
        <v>2026</v>
      </c>
      <c r="K305" s="2" t="s">
        <v>73</v>
      </c>
    </row>
    <row r="306" spans="1:11" x14ac:dyDescent="0.45">
      <c r="A306" s="2" t="s">
        <v>488</v>
      </c>
      <c r="B306" s="3">
        <v>1003619596</v>
      </c>
      <c r="C306" s="29" t="s">
        <v>1826</v>
      </c>
      <c r="D306" s="29" t="s">
        <v>2038</v>
      </c>
      <c r="E306" s="29" t="s">
        <v>2060</v>
      </c>
      <c r="F306" s="2" t="s">
        <v>12</v>
      </c>
      <c r="G306" s="2" t="s">
        <v>12</v>
      </c>
      <c r="I306" s="2" t="s">
        <v>492</v>
      </c>
      <c r="J306" s="2">
        <v>2022</v>
      </c>
      <c r="K306" s="2" t="s">
        <v>73</v>
      </c>
    </row>
    <row r="307" spans="1:11" x14ac:dyDescent="0.45">
      <c r="A307" s="2" t="s">
        <v>488</v>
      </c>
      <c r="B307" s="3">
        <v>1005303742</v>
      </c>
      <c r="C307" s="29" t="s">
        <v>1792</v>
      </c>
      <c r="D307" s="29" t="s">
        <v>2039</v>
      </c>
      <c r="E307" s="29" t="s">
        <v>2061</v>
      </c>
      <c r="F307" s="2" t="s">
        <v>12</v>
      </c>
      <c r="G307" s="2" t="s">
        <v>12</v>
      </c>
      <c r="I307" s="2" t="s">
        <v>492</v>
      </c>
      <c r="J307" s="2">
        <v>3708</v>
      </c>
      <c r="K307" s="2" t="s">
        <v>73</v>
      </c>
    </row>
    <row r="308" spans="1:11" x14ac:dyDescent="0.45">
      <c r="A308" s="2" t="s">
        <v>488</v>
      </c>
      <c r="B308" s="3">
        <v>1007594981</v>
      </c>
      <c r="C308" s="29" t="s">
        <v>1788</v>
      </c>
      <c r="D308" s="29" t="s">
        <v>2040</v>
      </c>
      <c r="E308" s="29" t="s">
        <v>2062</v>
      </c>
      <c r="F308" s="2" t="s">
        <v>12</v>
      </c>
      <c r="G308" s="2" t="s">
        <v>12</v>
      </c>
      <c r="I308" s="2" t="s">
        <v>492</v>
      </c>
      <c r="J308" s="2">
        <v>2021</v>
      </c>
      <c r="K308" s="2" t="s">
        <v>73</v>
      </c>
    </row>
    <row r="309" spans="1:11" x14ac:dyDescent="0.45">
      <c r="A309" s="2" t="s">
        <v>488</v>
      </c>
      <c r="B309" s="3">
        <v>1020789001</v>
      </c>
      <c r="C309" s="29" t="s">
        <v>1818</v>
      </c>
      <c r="D309" s="29" t="s">
        <v>2041</v>
      </c>
      <c r="E309" s="29" t="s">
        <v>2063</v>
      </c>
      <c r="F309" s="2" t="s">
        <v>12</v>
      </c>
      <c r="G309" s="2" t="s">
        <v>12</v>
      </c>
      <c r="I309" s="2" t="s">
        <v>492</v>
      </c>
      <c r="J309" s="2">
        <v>2023</v>
      </c>
      <c r="K309" s="2" t="s">
        <v>73</v>
      </c>
    </row>
    <row r="310" spans="1:11" x14ac:dyDescent="0.45">
      <c r="A310" s="2" t="s">
        <v>488</v>
      </c>
      <c r="B310" s="3">
        <v>1020807540</v>
      </c>
      <c r="C310" s="29" t="s">
        <v>1772</v>
      </c>
      <c r="D310" s="29" t="s">
        <v>2042</v>
      </c>
      <c r="E310" s="29" t="s">
        <v>2064</v>
      </c>
      <c r="F310" s="2" t="s">
        <v>12</v>
      </c>
      <c r="G310" s="2" t="s">
        <v>12</v>
      </c>
      <c r="I310" s="2" t="s">
        <v>492</v>
      </c>
      <c r="J310" s="2">
        <v>2021</v>
      </c>
      <c r="K310" s="2" t="s">
        <v>73</v>
      </c>
    </row>
    <row r="311" spans="1:11" x14ac:dyDescent="0.45">
      <c r="A311" s="2" t="s">
        <v>488</v>
      </c>
      <c r="B311" s="3">
        <v>1022337666</v>
      </c>
      <c r="C311" s="29" t="s">
        <v>1786</v>
      </c>
      <c r="D311" s="29" t="s">
        <v>2043</v>
      </c>
      <c r="E311" s="29" t="s">
        <v>2065</v>
      </c>
      <c r="F311" s="2" t="s">
        <v>12</v>
      </c>
      <c r="G311" s="2" t="s">
        <v>12</v>
      </c>
      <c r="I311" s="2" t="s">
        <v>492</v>
      </c>
      <c r="J311" s="2">
        <v>2021</v>
      </c>
      <c r="K311" s="2" t="s">
        <v>73</v>
      </c>
    </row>
    <row r="312" spans="1:11" x14ac:dyDescent="0.45">
      <c r="A312" s="2" t="s">
        <v>488</v>
      </c>
      <c r="B312" s="3">
        <v>1023082389</v>
      </c>
      <c r="C312" s="29" t="s">
        <v>1824</v>
      </c>
      <c r="D312" s="29" t="s">
        <v>2044</v>
      </c>
      <c r="E312" s="29" t="s">
        <v>2066</v>
      </c>
      <c r="F312" s="2" t="s">
        <v>12</v>
      </c>
      <c r="G312" s="2" t="s">
        <v>12</v>
      </c>
      <c r="I312" s="2" t="s">
        <v>492</v>
      </c>
      <c r="J312" s="2">
        <v>2023</v>
      </c>
      <c r="K312" s="2" t="s">
        <v>73</v>
      </c>
    </row>
    <row r="313" spans="1:11" x14ac:dyDescent="0.45">
      <c r="A313" s="2" t="s">
        <v>488</v>
      </c>
      <c r="B313" s="3">
        <v>1023946837</v>
      </c>
      <c r="C313" s="29" t="s">
        <v>1784</v>
      </c>
      <c r="D313" s="29" t="s">
        <v>2045</v>
      </c>
      <c r="E313" s="29" t="s">
        <v>2067</v>
      </c>
      <c r="F313" s="2" t="s">
        <v>12</v>
      </c>
      <c r="G313" s="2" t="s">
        <v>12</v>
      </c>
      <c r="I313" s="2" t="s">
        <v>492</v>
      </c>
      <c r="J313" s="2">
        <v>2021</v>
      </c>
      <c r="K313" s="2" t="s">
        <v>73</v>
      </c>
    </row>
    <row r="314" spans="1:11" x14ac:dyDescent="0.45">
      <c r="A314" s="2" t="s">
        <v>488</v>
      </c>
      <c r="B314" s="3">
        <v>1067726411</v>
      </c>
      <c r="C314" s="29" t="s">
        <v>1766</v>
      </c>
      <c r="D314" s="29" t="s">
        <v>2046</v>
      </c>
      <c r="E314" s="29" t="s">
        <v>2068</v>
      </c>
      <c r="F314" s="2" t="s">
        <v>12</v>
      </c>
      <c r="G314" s="2" t="s">
        <v>12</v>
      </c>
      <c r="I314" s="2" t="s">
        <v>492</v>
      </c>
      <c r="J314" s="2">
        <v>2021</v>
      </c>
      <c r="K314" s="2" t="s">
        <v>73</v>
      </c>
    </row>
    <row r="315" spans="1:11" x14ac:dyDescent="0.45">
      <c r="A315" s="2" t="s">
        <v>488</v>
      </c>
      <c r="B315" s="3">
        <v>1070920153</v>
      </c>
      <c r="C315" s="29" t="s">
        <v>1828</v>
      </c>
      <c r="D315" s="29" t="s">
        <v>2047</v>
      </c>
      <c r="E315" s="29" t="s">
        <v>2069</v>
      </c>
      <c r="F315" s="2" t="s">
        <v>12</v>
      </c>
      <c r="G315" s="2" t="s">
        <v>12</v>
      </c>
      <c r="I315" s="2" t="s">
        <v>492</v>
      </c>
      <c r="J315" s="2">
        <v>2022</v>
      </c>
      <c r="K315" s="2" t="s">
        <v>73</v>
      </c>
    </row>
    <row r="316" spans="1:11" x14ac:dyDescent="0.45">
      <c r="A316" s="2" t="s">
        <v>488</v>
      </c>
      <c r="B316" s="3">
        <v>1072717904</v>
      </c>
      <c r="C316" s="29" t="s">
        <v>1760</v>
      </c>
      <c r="D316" s="29" t="s">
        <v>2048</v>
      </c>
      <c r="E316" s="29" t="s">
        <v>2070</v>
      </c>
      <c r="F316" s="2" t="s">
        <v>12</v>
      </c>
      <c r="G316" s="2" t="s">
        <v>12</v>
      </c>
      <c r="I316" s="2" t="s">
        <v>492</v>
      </c>
      <c r="J316" s="2">
        <v>2028</v>
      </c>
      <c r="K316" s="2" t="s">
        <v>73</v>
      </c>
    </row>
    <row r="317" spans="1:11" x14ac:dyDescent="0.45">
      <c r="A317" s="2" t="s">
        <v>488</v>
      </c>
      <c r="B317" s="3">
        <v>1082876125</v>
      </c>
      <c r="C317" s="29" t="s">
        <v>1798</v>
      </c>
      <c r="D317" s="29" t="s">
        <v>2049</v>
      </c>
      <c r="E317" s="29" t="s">
        <v>2071</v>
      </c>
      <c r="F317" s="2" t="s">
        <v>12</v>
      </c>
      <c r="G317" s="2" t="s">
        <v>12</v>
      </c>
      <c r="I317" s="2" t="s">
        <v>492</v>
      </c>
      <c r="J317" s="2">
        <v>2020</v>
      </c>
      <c r="K317" s="2" t="s">
        <v>73</v>
      </c>
    </row>
    <row r="318" spans="1:11" x14ac:dyDescent="0.45">
      <c r="A318" s="2" t="s">
        <v>488</v>
      </c>
      <c r="B318" s="3">
        <v>1094289868</v>
      </c>
      <c r="C318" s="29" t="s">
        <v>1816</v>
      </c>
      <c r="D318" s="29" t="s">
        <v>2050</v>
      </c>
      <c r="E318" s="29" t="s">
        <v>2072</v>
      </c>
      <c r="F318" s="2" t="s">
        <v>12</v>
      </c>
      <c r="G318" s="2" t="s">
        <v>12</v>
      </c>
      <c r="I318" s="2" t="s">
        <v>492</v>
      </c>
      <c r="J318" s="2">
        <v>2020</v>
      </c>
      <c r="K318" s="2" t="s">
        <v>73</v>
      </c>
    </row>
    <row r="319" spans="1:11" x14ac:dyDescent="0.45">
      <c r="A319" s="2" t="s">
        <v>488</v>
      </c>
      <c r="B319" s="3">
        <v>1096618596</v>
      </c>
      <c r="C319" s="29" t="s">
        <v>1804</v>
      </c>
      <c r="D319" s="29" t="s">
        <v>2051</v>
      </c>
      <c r="E319" s="29" t="s">
        <v>2073</v>
      </c>
      <c r="F319" s="2" t="s">
        <v>12</v>
      </c>
      <c r="G319" s="2" t="s">
        <v>12</v>
      </c>
      <c r="I319" s="2" t="s">
        <v>492</v>
      </c>
      <c r="J319" s="2">
        <v>2020</v>
      </c>
      <c r="K319" s="2" t="s">
        <v>73</v>
      </c>
    </row>
    <row r="320" spans="1:11" x14ac:dyDescent="0.45">
      <c r="A320" s="2" t="s">
        <v>488</v>
      </c>
      <c r="B320" s="3">
        <v>1126905373</v>
      </c>
      <c r="C320" s="29" t="s">
        <v>1822</v>
      </c>
      <c r="D320" s="2" t="s">
        <v>527</v>
      </c>
      <c r="E320" s="29" t="s">
        <v>2074</v>
      </c>
      <c r="F320" s="2" t="s">
        <v>12</v>
      </c>
      <c r="G320" s="2" t="s">
        <v>12</v>
      </c>
      <c r="I320" s="2" t="s">
        <v>492</v>
      </c>
      <c r="J320" s="2">
        <v>2020</v>
      </c>
      <c r="K320" s="2" t="s">
        <v>73</v>
      </c>
    </row>
    <row r="321" spans="1:11" x14ac:dyDescent="0.45">
      <c r="A321" s="2" t="s">
        <v>488</v>
      </c>
      <c r="B321" s="3">
        <v>1233905261</v>
      </c>
      <c r="C321" s="29" t="s">
        <v>1796</v>
      </c>
      <c r="D321" s="29" t="s">
        <v>2052</v>
      </c>
      <c r="E321" s="29" t="s">
        <v>2075</v>
      </c>
      <c r="F321" s="2" t="s">
        <v>12</v>
      </c>
      <c r="G321" s="2" t="s">
        <v>12</v>
      </c>
      <c r="I321" s="2" t="s">
        <v>492</v>
      </c>
      <c r="J321" s="2">
        <v>2021</v>
      </c>
      <c r="K321" s="2" t="s">
        <v>73</v>
      </c>
    </row>
    <row r="322" spans="1:11" x14ac:dyDescent="0.45">
      <c r="A322" s="2" t="s">
        <v>488</v>
      </c>
      <c r="B322" s="3">
        <v>1235240465</v>
      </c>
      <c r="C322" s="29" t="s">
        <v>1790</v>
      </c>
      <c r="D322" s="29" t="s">
        <v>2053</v>
      </c>
      <c r="E322" s="29" t="s">
        <v>2076</v>
      </c>
      <c r="F322" s="2" t="s">
        <v>12</v>
      </c>
      <c r="G322" s="2" t="s">
        <v>12</v>
      </c>
      <c r="I322" s="2" t="s">
        <v>492</v>
      </c>
      <c r="J322" s="2">
        <v>2021</v>
      </c>
      <c r="K322" s="2" t="s">
        <v>73</v>
      </c>
    </row>
  </sheetData>
  <autoFilter ref="A1:K322" xr:uid="{00000000-0009-0000-0000-000009000000}"/>
  <phoneticPr fontId="8" type="noConversion"/>
  <conditionalFormatting sqref="B125">
    <cfRule type="expression" dxfId="0" priority="2">
      <formula>AND($A125&lt;&gt;"",COUNTIF($B:$B,$A125)=0)</formula>
    </cfRule>
  </conditionalFormatting>
  <hyperlinks>
    <hyperlink ref="E256" r:id="rId1" xr:uid="{FF599312-8F4E-4C54-9A47-52C221EE42C3}"/>
    <hyperlink ref="J305" r:id="rId2" display="Cajer@ Junior" xr:uid="{9C090DA2-C4F4-4CD3-A713-5676A393D345}"/>
  </hyperlinks>
  <pageMargins left="0.75" right="0.75" top="1" bottom="1" header="0.5" footer="0.5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7"/>
  <sheetViews>
    <sheetView showGridLines="0" zoomScale="90" workbookViewId="0">
      <pane ySplit="1" topLeftCell="A13" activePane="bottomLeft" state="frozen"/>
      <selection activeCell="A2" sqref="A2:XFD4"/>
      <selection pane="bottomLeft" activeCell="B41" sqref="B41"/>
    </sheetView>
  </sheetViews>
  <sheetFormatPr defaultColWidth="9.1328125" defaultRowHeight="14.25" x14ac:dyDescent="0.45"/>
  <cols>
    <col min="1" max="1" width="26" customWidth="1"/>
    <col min="2" max="2" width="12" customWidth="1"/>
    <col min="3" max="3" width="32" customWidth="1"/>
  </cols>
  <sheetData>
    <row r="1" spans="1:3" ht="30" customHeight="1" x14ac:dyDescent="0.45">
      <c r="A1" s="1" t="s">
        <v>35</v>
      </c>
      <c r="B1" s="1" t="s">
        <v>470</v>
      </c>
      <c r="C1" s="1" t="s">
        <v>1245</v>
      </c>
    </row>
    <row r="2" spans="1:3" ht="20.100000000000001" customHeight="1" x14ac:dyDescent="0.45">
      <c r="A2" s="2" t="s">
        <v>37</v>
      </c>
      <c r="B2" s="2" t="s">
        <v>472</v>
      </c>
      <c r="C2" s="2">
        <v>45</v>
      </c>
    </row>
    <row r="3" spans="1:3" ht="20.100000000000001" customHeight="1" x14ac:dyDescent="0.45">
      <c r="A3" s="2" t="s">
        <v>37</v>
      </c>
      <c r="B3" s="2" t="s">
        <v>473</v>
      </c>
      <c r="C3" s="2">
        <v>32</v>
      </c>
    </row>
    <row r="4" spans="1:3" ht="20.100000000000001" customHeight="1" x14ac:dyDescent="0.45">
      <c r="A4" s="2" t="s">
        <v>37</v>
      </c>
      <c r="B4" s="2" t="s">
        <v>471</v>
      </c>
      <c r="C4" s="2">
        <v>21</v>
      </c>
    </row>
    <row r="5" spans="1:3" ht="20.100000000000001" customHeight="1" x14ac:dyDescent="0.45">
      <c r="A5" s="2" t="s">
        <v>39</v>
      </c>
      <c r="B5" s="2" t="s">
        <v>472</v>
      </c>
      <c r="C5" s="2">
        <v>59</v>
      </c>
    </row>
    <row r="6" spans="1:3" ht="20.100000000000001" customHeight="1" x14ac:dyDescent="0.45">
      <c r="A6" s="2" t="s">
        <v>39</v>
      </c>
      <c r="B6" s="2" t="s">
        <v>473</v>
      </c>
      <c r="C6" s="2">
        <v>42</v>
      </c>
    </row>
    <row r="7" spans="1:3" ht="20.100000000000001" customHeight="1" x14ac:dyDescent="0.45">
      <c r="A7" s="2" t="s">
        <v>39</v>
      </c>
      <c r="B7" s="2" t="s">
        <v>471</v>
      </c>
      <c r="C7" s="2">
        <v>28</v>
      </c>
    </row>
    <row r="8" spans="1:3" ht="20.100000000000001" customHeight="1" x14ac:dyDescent="0.45">
      <c r="A8" s="2" t="s">
        <v>40</v>
      </c>
      <c r="B8" s="2" t="s">
        <v>472</v>
      </c>
      <c r="C8" s="2">
        <v>39</v>
      </c>
    </row>
    <row r="9" spans="1:3" ht="20.100000000000001" customHeight="1" x14ac:dyDescent="0.45">
      <c r="A9" s="2" t="s">
        <v>40</v>
      </c>
      <c r="B9" s="2" t="s">
        <v>473</v>
      </c>
      <c r="C9" s="2">
        <v>28</v>
      </c>
    </row>
    <row r="10" spans="1:3" ht="20.100000000000001" customHeight="1" x14ac:dyDescent="0.45">
      <c r="A10" s="2" t="s">
        <v>40</v>
      </c>
      <c r="B10" s="2" t="s">
        <v>471</v>
      </c>
      <c r="C10" s="2">
        <v>18</v>
      </c>
    </row>
    <row r="11" spans="1:3" ht="20.100000000000001" customHeight="1" x14ac:dyDescent="0.45">
      <c r="A11" s="2" t="s">
        <v>41</v>
      </c>
      <c r="B11" s="2" t="s">
        <v>472</v>
      </c>
      <c r="C11" s="2">
        <v>65</v>
      </c>
    </row>
    <row r="12" spans="1:3" ht="20.100000000000001" customHeight="1" x14ac:dyDescent="0.45">
      <c r="A12" s="2" t="s">
        <v>41</v>
      </c>
      <c r="B12" s="2" t="s">
        <v>473</v>
      </c>
      <c r="C12" s="2">
        <v>47</v>
      </c>
    </row>
    <row r="13" spans="1:3" ht="20.100000000000001" customHeight="1" x14ac:dyDescent="0.45">
      <c r="A13" s="2" t="s">
        <v>41</v>
      </c>
      <c r="B13" s="2" t="s">
        <v>471</v>
      </c>
      <c r="C13" s="2">
        <v>31</v>
      </c>
    </row>
    <row r="14" spans="1:3" ht="20.100000000000001" customHeight="1" x14ac:dyDescent="0.45">
      <c r="A14" s="2" t="s">
        <v>42</v>
      </c>
      <c r="B14" s="2" t="s">
        <v>472</v>
      </c>
      <c r="C14" s="2">
        <v>52</v>
      </c>
    </row>
    <row r="15" spans="1:3" ht="20.100000000000001" customHeight="1" x14ac:dyDescent="0.45">
      <c r="A15" s="2" t="s">
        <v>42</v>
      </c>
      <c r="B15" s="2" t="s">
        <v>473</v>
      </c>
      <c r="C15" s="2">
        <v>37</v>
      </c>
    </row>
    <row r="16" spans="1:3" ht="20.100000000000001" customHeight="1" x14ac:dyDescent="0.45">
      <c r="A16" s="2" t="s">
        <v>42</v>
      </c>
      <c r="B16" s="2" t="s">
        <v>471</v>
      </c>
      <c r="C16" s="2">
        <v>24</v>
      </c>
    </row>
    <row r="17" spans="1:3" ht="20.100000000000001" customHeight="1" x14ac:dyDescent="0.45">
      <c r="A17" s="2" t="s">
        <v>47</v>
      </c>
      <c r="B17" s="2" t="s">
        <v>472</v>
      </c>
      <c r="C17" s="2">
        <v>45</v>
      </c>
    </row>
    <row r="18" spans="1:3" ht="20.100000000000001" customHeight="1" x14ac:dyDescent="0.45">
      <c r="A18" s="2" t="s">
        <v>47</v>
      </c>
      <c r="B18" s="2" t="s">
        <v>473</v>
      </c>
      <c r="C18" s="2">
        <v>32</v>
      </c>
    </row>
    <row r="19" spans="1:3" ht="20.100000000000001" customHeight="1" x14ac:dyDescent="0.45">
      <c r="A19" s="2" t="s">
        <v>47</v>
      </c>
      <c r="B19" s="2" t="s">
        <v>471</v>
      </c>
      <c r="C19" s="2">
        <v>21</v>
      </c>
    </row>
    <row r="20" spans="1:3" ht="20.100000000000001" customHeight="1" x14ac:dyDescent="0.45">
      <c r="A20" s="2" t="s">
        <v>48</v>
      </c>
      <c r="B20" s="2" t="s">
        <v>472</v>
      </c>
      <c r="C20" s="2">
        <v>60</v>
      </c>
    </row>
    <row r="21" spans="1:3" ht="20.100000000000001" customHeight="1" x14ac:dyDescent="0.45">
      <c r="A21" s="2" t="s">
        <v>48</v>
      </c>
      <c r="B21" s="2" t="s">
        <v>473</v>
      </c>
      <c r="C21" s="2">
        <v>43</v>
      </c>
    </row>
    <row r="22" spans="1:3" ht="20.100000000000001" customHeight="1" x14ac:dyDescent="0.45">
      <c r="A22" s="2" t="s">
        <v>48</v>
      </c>
      <c r="B22" s="2" t="s">
        <v>471</v>
      </c>
      <c r="C22" s="2">
        <v>28</v>
      </c>
    </row>
    <row r="23" spans="1:3" ht="20.100000000000001" customHeight="1" x14ac:dyDescent="0.45">
      <c r="A23" s="2" t="s">
        <v>1254</v>
      </c>
      <c r="B23" s="2" t="s">
        <v>472</v>
      </c>
      <c r="C23" s="2">
        <v>40</v>
      </c>
    </row>
    <row r="24" spans="1:3" ht="20.100000000000001" customHeight="1" x14ac:dyDescent="0.45">
      <c r="A24" s="2" t="s">
        <v>1254</v>
      </c>
      <c r="B24" s="2" t="s">
        <v>473</v>
      </c>
      <c r="C24" s="2">
        <v>29</v>
      </c>
    </row>
    <row r="25" spans="1:3" ht="20.100000000000001" customHeight="1" x14ac:dyDescent="0.45">
      <c r="A25" s="2" t="s">
        <v>1254</v>
      </c>
      <c r="B25" s="2" t="s">
        <v>471</v>
      </c>
      <c r="C25" s="2">
        <v>19</v>
      </c>
    </row>
    <row r="26" spans="1:3" ht="20.100000000000001" customHeight="1" x14ac:dyDescent="0.45">
      <c r="A26" s="2" t="s">
        <v>51</v>
      </c>
      <c r="B26" s="2" t="s">
        <v>472</v>
      </c>
      <c r="C26" s="2">
        <v>30</v>
      </c>
    </row>
    <row r="27" spans="1:3" ht="20.100000000000001" customHeight="1" x14ac:dyDescent="0.45">
      <c r="A27" s="2" t="s">
        <v>51</v>
      </c>
      <c r="B27" s="2" t="s">
        <v>473</v>
      </c>
      <c r="C27" s="2">
        <v>22</v>
      </c>
    </row>
    <row r="28" spans="1:3" ht="20.100000000000001" customHeight="1" x14ac:dyDescent="0.45">
      <c r="A28" s="2" t="s">
        <v>51</v>
      </c>
      <c r="B28" s="2" t="s">
        <v>471</v>
      </c>
      <c r="C28" s="2">
        <v>14</v>
      </c>
    </row>
    <row r="29" spans="1:3" ht="20.100000000000001" customHeight="1" x14ac:dyDescent="0.45">
      <c r="A29" s="2" t="s">
        <v>53</v>
      </c>
      <c r="B29" s="2" t="s">
        <v>472</v>
      </c>
      <c r="C29" s="2">
        <v>6</v>
      </c>
    </row>
    <row r="30" spans="1:3" ht="20.100000000000001" customHeight="1" x14ac:dyDescent="0.45">
      <c r="A30" s="2" t="s">
        <v>53</v>
      </c>
      <c r="B30" s="2" t="s">
        <v>473</v>
      </c>
      <c r="C30" s="2">
        <v>4</v>
      </c>
    </row>
    <row r="31" spans="1:3" ht="20.100000000000001" customHeight="1" x14ac:dyDescent="0.45">
      <c r="A31" s="2" t="s">
        <v>53</v>
      </c>
      <c r="B31" s="2" t="s">
        <v>471</v>
      </c>
      <c r="C31" s="2">
        <v>3</v>
      </c>
    </row>
    <row r="32" spans="1:3" ht="20.100000000000001" customHeight="1" x14ac:dyDescent="0.45">
      <c r="A32" s="2" t="s">
        <v>1252</v>
      </c>
      <c r="B32" s="2" t="s">
        <v>472</v>
      </c>
      <c r="C32" s="2">
        <v>55</v>
      </c>
    </row>
    <row r="33" spans="1:3" ht="20.100000000000001" customHeight="1" x14ac:dyDescent="0.45">
      <c r="A33" s="2" t="s">
        <v>1252</v>
      </c>
      <c r="B33" s="2" t="s">
        <v>473</v>
      </c>
      <c r="C33" s="2">
        <v>40</v>
      </c>
    </row>
    <row r="34" spans="1:3" ht="20.100000000000001" customHeight="1" x14ac:dyDescent="0.45">
      <c r="A34" s="2" t="s">
        <v>1252</v>
      </c>
      <c r="B34" s="2" t="s">
        <v>471</v>
      </c>
      <c r="C34" s="2">
        <v>26</v>
      </c>
    </row>
    <row r="35" spans="1:3" ht="20.100000000000001" customHeight="1" x14ac:dyDescent="0.45">
      <c r="A35" s="2" t="s">
        <v>1253</v>
      </c>
      <c r="B35" s="2" t="s">
        <v>472</v>
      </c>
      <c r="C35" s="2">
        <v>60</v>
      </c>
    </row>
    <row r="36" spans="1:3" ht="20.100000000000001" customHeight="1" x14ac:dyDescent="0.45">
      <c r="A36" s="2" t="s">
        <v>1253</v>
      </c>
      <c r="B36" s="2" t="s">
        <v>473</v>
      </c>
      <c r="C36" s="2">
        <v>43</v>
      </c>
    </row>
    <row r="37" spans="1:3" ht="20.100000000000001" customHeight="1" x14ac:dyDescent="0.45">
      <c r="A37" s="2" t="s">
        <v>1253</v>
      </c>
      <c r="B37" s="2" t="s">
        <v>471</v>
      </c>
      <c r="C37" s="2">
        <v>28</v>
      </c>
    </row>
  </sheetData>
  <autoFilter ref="A1:C37" xr:uid="{00000000-0009-0000-0000-00000A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F6A9-C19F-493A-8D64-35C161C56BF8}">
  <dimension ref="A1:AB39"/>
  <sheetViews>
    <sheetView tabSelected="1" zoomScale="70" zoomScaleNormal="70" workbookViewId="0">
      <selection activeCell="V12" sqref="V12"/>
    </sheetView>
  </sheetViews>
  <sheetFormatPr defaultColWidth="10.6640625" defaultRowHeight="14.25" x14ac:dyDescent="0.45"/>
  <cols>
    <col min="1" max="1" width="22.3984375" bestFit="1" customWidth="1"/>
    <col min="2" max="2" width="23" bestFit="1" customWidth="1"/>
    <col min="3" max="3" width="8.1328125" style="22" bestFit="1" customWidth="1"/>
    <col min="4" max="4" width="8.265625" style="22" bestFit="1" customWidth="1"/>
    <col min="5" max="5" width="9.265625" style="25" bestFit="1" customWidth="1"/>
    <col min="6" max="6" width="23.1328125" style="25" bestFit="1" customWidth="1"/>
    <col min="7" max="7" width="13.86328125" style="25" bestFit="1" customWidth="1"/>
    <col min="8" max="8" width="19.1328125" style="25" bestFit="1" customWidth="1"/>
    <col min="9" max="9" width="9.1328125" style="24" bestFit="1" customWidth="1"/>
    <col min="10" max="10" width="11" style="24" bestFit="1" customWidth="1"/>
    <col min="11" max="11" width="9.59765625" style="23" bestFit="1" customWidth="1"/>
    <col min="12" max="12" width="20.59765625" style="26" bestFit="1" customWidth="1"/>
    <col min="13" max="13" width="25.86328125" style="26" bestFit="1" customWidth="1"/>
    <col min="14" max="14" width="23.86328125" style="26" bestFit="1" customWidth="1"/>
    <col min="15" max="15" width="23.3984375" style="26" bestFit="1" customWidth="1"/>
    <col min="16" max="16" width="16.73046875" style="26" bestFit="1" customWidth="1"/>
    <col min="17" max="17" width="16.265625" style="26" bestFit="1" customWidth="1"/>
    <col min="18" max="18" width="6.3984375" style="27" bestFit="1" customWidth="1"/>
    <col min="19" max="19" width="25.86328125" style="27" bestFit="1" customWidth="1"/>
    <col min="20" max="20" width="26.73046875" style="27" bestFit="1" customWidth="1"/>
    <col min="21" max="21" width="8.73046875" style="28" bestFit="1" customWidth="1"/>
    <col min="22" max="22" width="7.3984375" bestFit="1" customWidth="1"/>
    <col min="25" max="25" width="17.1328125" bestFit="1" customWidth="1"/>
    <col min="26" max="26" width="11.59765625" bestFit="1" customWidth="1"/>
    <col min="27" max="27" width="11.3984375" bestFit="1" customWidth="1"/>
    <col min="28" max="28" width="10" bestFit="1" customWidth="1"/>
  </cols>
  <sheetData>
    <row r="1" spans="1:28" s="30" customFormat="1" x14ac:dyDescent="0.45">
      <c r="A1" s="32" t="s">
        <v>2078</v>
      </c>
      <c r="B1" s="32" t="s">
        <v>2077</v>
      </c>
      <c r="C1" s="33" t="s">
        <v>47</v>
      </c>
      <c r="D1" s="33" t="s">
        <v>48</v>
      </c>
      <c r="E1" s="34" t="s">
        <v>37</v>
      </c>
      <c r="F1" s="34" t="s">
        <v>41</v>
      </c>
      <c r="G1" s="34" t="s">
        <v>42</v>
      </c>
      <c r="H1" s="34" t="s">
        <v>1251</v>
      </c>
      <c r="I1" s="35" t="s">
        <v>39</v>
      </c>
      <c r="J1" s="35" t="s">
        <v>40</v>
      </c>
      <c r="K1" s="36" t="s">
        <v>44</v>
      </c>
      <c r="L1" s="37" t="s">
        <v>53</v>
      </c>
      <c r="M1" s="37" t="s">
        <v>1252</v>
      </c>
      <c r="N1" s="37" t="s">
        <v>54</v>
      </c>
      <c r="O1" s="37" t="s">
        <v>1253</v>
      </c>
      <c r="P1" s="37" t="s">
        <v>55</v>
      </c>
      <c r="Q1" s="37" t="s">
        <v>56</v>
      </c>
      <c r="R1" s="38" t="s">
        <v>50</v>
      </c>
      <c r="S1" s="38" t="s">
        <v>1254</v>
      </c>
      <c r="T1" s="38" t="s">
        <v>51</v>
      </c>
      <c r="U1" s="39" t="s">
        <v>45</v>
      </c>
      <c r="V1" s="32" t="s">
        <v>2079</v>
      </c>
    </row>
    <row r="2" spans="1:28" x14ac:dyDescent="0.45">
      <c r="A2" s="40">
        <v>0</v>
      </c>
      <c r="B2" s="40">
        <v>5</v>
      </c>
      <c r="C2" s="41">
        <v>0</v>
      </c>
      <c r="D2" s="41">
        <v>1</v>
      </c>
      <c r="E2" s="42">
        <v>1</v>
      </c>
      <c r="F2" s="42">
        <v>0</v>
      </c>
      <c r="G2" s="42">
        <v>1</v>
      </c>
      <c r="H2" s="42">
        <v>0</v>
      </c>
      <c r="I2" s="43">
        <v>0</v>
      </c>
      <c r="J2" s="43">
        <v>0</v>
      </c>
      <c r="K2" s="44">
        <v>0</v>
      </c>
      <c r="L2" s="45">
        <v>2</v>
      </c>
      <c r="M2" s="45">
        <v>0</v>
      </c>
      <c r="N2" s="45">
        <v>0</v>
      </c>
      <c r="O2" s="45">
        <v>0</v>
      </c>
      <c r="P2" s="45">
        <v>0</v>
      </c>
      <c r="Q2" s="45">
        <v>0</v>
      </c>
      <c r="R2" s="46">
        <v>0</v>
      </c>
      <c r="S2" s="46">
        <v>1</v>
      </c>
      <c r="T2" s="46">
        <v>0</v>
      </c>
      <c r="U2" s="47"/>
      <c r="V2" s="40">
        <f>SUM(C2:T2)</f>
        <v>6</v>
      </c>
    </row>
    <row r="3" spans="1:28" x14ac:dyDescent="0.45">
      <c r="A3" s="40">
        <f>A2+5</f>
        <v>5</v>
      </c>
      <c r="B3" s="48">
        <f>B2+5</f>
        <v>10</v>
      </c>
      <c r="C3" s="41">
        <v>0</v>
      </c>
      <c r="D3" s="41">
        <v>1</v>
      </c>
      <c r="E3" s="42">
        <v>1</v>
      </c>
      <c r="F3" s="42">
        <v>0</v>
      </c>
      <c r="G3" s="42">
        <v>1</v>
      </c>
      <c r="H3" s="42">
        <v>0</v>
      </c>
      <c r="I3" s="43">
        <v>1</v>
      </c>
      <c r="J3" s="43">
        <v>0</v>
      </c>
      <c r="K3" s="44">
        <v>0</v>
      </c>
      <c r="L3" s="45">
        <v>2</v>
      </c>
      <c r="M3" s="45">
        <v>0</v>
      </c>
      <c r="N3" s="45">
        <v>0</v>
      </c>
      <c r="O3" s="45">
        <v>0</v>
      </c>
      <c r="P3" s="45">
        <v>1</v>
      </c>
      <c r="Q3" s="45">
        <v>0</v>
      </c>
      <c r="R3" s="46">
        <v>0</v>
      </c>
      <c r="S3" s="46">
        <v>1</v>
      </c>
      <c r="T3" s="46">
        <v>0</v>
      </c>
      <c r="U3" s="47"/>
      <c r="V3" s="40">
        <f t="shared" ref="V3:V10" si="0">SUM(C3:T3)</f>
        <v>8</v>
      </c>
      <c r="Z3" t="s">
        <v>2081</v>
      </c>
      <c r="AA3" t="s">
        <v>2082</v>
      </c>
      <c r="AB3" t="s">
        <v>2080</v>
      </c>
    </row>
    <row r="4" spans="1:28" x14ac:dyDescent="0.45">
      <c r="A4" s="40">
        <f t="shared" ref="A4:A11" si="1">A3+5</f>
        <v>10</v>
      </c>
      <c r="B4" s="48">
        <f t="shared" ref="B4:B11" si="2">B3+5</f>
        <v>15</v>
      </c>
      <c r="C4" s="41">
        <v>0</v>
      </c>
      <c r="D4" s="41">
        <v>1</v>
      </c>
      <c r="E4" s="42">
        <v>1</v>
      </c>
      <c r="F4" s="42">
        <v>0</v>
      </c>
      <c r="G4" s="42">
        <v>1</v>
      </c>
      <c r="H4" s="42">
        <v>1</v>
      </c>
      <c r="I4" s="43">
        <v>1</v>
      </c>
      <c r="J4" s="43">
        <v>0</v>
      </c>
      <c r="K4" s="44">
        <v>0</v>
      </c>
      <c r="L4" s="45">
        <v>2</v>
      </c>
      <c r="M4" s="45">
        <v>1</v>
      </c>
      <c r="N4" s="45">
        <v>0</v>
      </c>
      <c r="O4" s="45">
        <v>0</v>
      </c>
      <c r="P4" s="45">
        <v>1</v>
      </c>
      <c r="Q4" s="45">
        <v>0</v>
      </c>
      <c r="R4" s="46">
        <v>0</v>
      </c>
      <c r="S4" s="46">
        <v>1</v>
      </c>
      <c r="T4" s="46">
        <v>1</v>
      </c>
      <c r="U4" s="47"/>
      <c r="V4" s="40">
        <f t="shared" si="0"/>
        <v>11</v>
      </c>
      <c r="Y4" s="30" t="s">
        <v>2083</v>
      </c>
      <c r="Z4" s="49">
        <v>0.29166666666666669</v>
      </c>
      <c r="AA4" s="49">
        <v>0.41666666666666669</v>
      </c>
      <c r="AB4">
        <v>1</v>
      </c>
    </row>
    <row r="5" spans="1:28" x14ac:dyDescent="0.45">
      <c r="A5" s="40">
        <f t="shared" si="1"/>
        <v>15</v>
      </c>
      <c r="B5" s="48">
        <f t="shared" si="2"/>
        <v>20</v>
      </c>
      <c r="C5" s="41">
        <v>0</v>
      </c>
      <c r="D5" s="41">
        <v>1</v>
      </c>
      <c r="E5" s="42">
        <v>1</v>
      </c>
      <c r="F5" s="42">
        <v>1</v>
      </c>
      <c r="G5" s="42">
        <v>1</v>
      </c>
      <c r="H5" s="42">
        <v>1</v>
      </c>
      <c r="I5" s="43">
        <v>1</v>
      </c>
      <c r="J5" s="43">
        <v>1</v>
      </c>
      <c r="K5" s="44">
        <v>0</v>
      </c>
      <c r="L5" s="45">
        <v>2</v>
      </c>
      <c r="M5" s="45">
        <v>1</v>
      </c>
      <c r="N5" s="45">
        <v>0</v>
      </c>
      <c r="O5" s="45">
        <v>0</v>
      </c>
      <c r="P5" s="45">
        <v>1</v>
      </c>
      <c r="Q5" s="45">
        <v>0</v>
      </c>
      <c r="R5" s="46">
        <v>0</v>
      </c>
      <c r="S5" s="46">
        <v>1</v>
      </c>
      <c r="T5" s="46">
        <v>1</v>
      </c>
      <c r="U5" s="47"/>
      <c r="V5" s="40">
        <f t="shared" si="0"/>
        <v>13</v>
      </c>
      <c r="Y5" s="30" t="s">
        <v>2083</v>
      </c>
      <c r="Z5" s="49">
        <v>0.41666666666666669</v>
      </c>
      <c r="AA5" s="49">
        <v>0.79166666666666663</v>
      </c>
      <c r="AB5">
        <v>2</v>
      </c>
    </row>
    <row r="6" spans="1:28" x14ac:dyDescent="0.45">
      <c r="A6" s="40">
        <f t="shared" si="1"/>
        <v>20</v>
      </c>
      <c r="B6" s="48">
        <f t="shared" si="2"/>
        <v>25</v>
      </c>
      <c r="C6" s="41">
        <v>1</v>
      </c>
      <c r="D6" s="41">
        <v>1</v>
      </c>
      <c r="E6" s="42">
        <v>1</v>
      </c>
      <c r="F6" s="42">
        <v>1</v>
      </c>
      <c r="G6" s="42">
        <v>1</v>
      </c>
      <c r="H6" s="42">
        <v>1</v>
      </c>
      <c r="I6" s="43">
        <v>1</v>
      </c>
      <c r="J6" s="43">
        <v>1</v>
      </c>
      <c r="K6" s="44">
        <v>0</v>
      </c>
      <c r="L6" s="45">
        <v>3</v>
      </c>
      <c r="M6" s="45">
        <v>2</v>
      </c>
      <c r="N6" s="45">
        <v>0</v>
      </c>
      <c r="O6" s="45">
        <v>1</v>
      </c>
      <c r="P6" s="45">
        <v>1</v>
      </c>
      <c r="Q6" s="45">
        <v>0</v>
      </c>
      <c r="R6" s="46">
        <v>0</v>
      </c>
      <c r="S6" s="46">
        <v>1</v>
      </c>
      <c r="T6" s="46">
        <v>1</v>
      </c>
      <c r="U6" s="47"/>
      <c r="V6" s="40">
        <f t="shared" si="0"/>
        <v>17</v>
      </c>
      <c r="Y6" s="30" t="s">
        <v>2083</v>
      </c>
      <c r="Z6" s="49">
        <v>0.79166666666666663</v>
      </c>
      <c r="AA6" s="49">
        <v>0.95833333333333337</v>
      </c>
      <c r="AB6">
        <v>1</v>
      </c>
    </row>
    <row r="7" spans="1:28" x14ac:dyDescent="0.45">
      <c r="A7" s="40">
        <f t="shared" si="1"/>
        <v>25</v>
      </c>
      <c r="B7" s="48">
        <f t="shared" si="2"/>
        <v>30</v>
      </c>
      <c r="C7" s="41">
        <v>1</v>
      </c>
      <c r="D7" s="41">
        <v>1</v>
      </c>
      <c r="E7" s="42">
        <v>1</v>
      </c>
      <c r="F7" s="42">
        <v>1</v>
      </c>
      <c r="G7" s="42">
        <v>1</v>
      </c>
      <c r="H7" s="42">
        <v>1</v>
      </c>
      <c r="I7" s="43">
        <v>1</v>
      </c>
      <c r="J7" s="43">
        <v>1</v>
      </c>
      <c r="K7" s="44">
        <v>0</v>
      </c>
      <c r="L7" s="45">
        <v>3</v>
      </c>
      <c r="M7" s="45">
        <v>2</v>
      </c>
      <c r="N7" s="45">
        <v>0</v>
      </c>
      <c r="O7" s="45">
        <v>1</v>
      </c>
      <c r="P7" s="45">
        <v>1</v>
      </c>
      <c r="Q7" s="45">
        <v>1</v>
      </c>
      <c r="R7" s="46">
        <v>0</v>
      </c>
      <c r="S7" s="46">
        <v>1</v>
      </c>
      <c r="T7" s="46">
        <v>1</v>
      </c>
      <c r="U7" s="47"/>
      <c r="V7" s="40">
        <f t="shared" si="0"/>
        <v>18</v>
      </c>
      <c r="Y7" s="30" t="s">
        <v>2084</v>
      </c>
      <c r="Z7" s="49">
        <v>0.25</v>
      </c>
      <c r="AA7" s="49">
        <v>0.58333333333333337</v>
      </c>
      <c r="AB7">
        <v>1</v>
      </c>
    </row>
    <row r="8" spans="1:28" x14ac:dyDescent="0.45">
      <c r="A8" s="40">
        <f t="shared" si="1"/>
        <v>30</v>
      </c>
      <c r="B8" s="48">
        <f t="shared" si="2"/>
        <v>35</v>
      </c>
      <c r="C8" s="41">
        <v>1</v>
      </c>
      <c r="D8" s="41">
        <v>1</v>
      </c>
      <c r="E8" s="42">
        <v>1</v>
      </c>
      <c r="F8" s="42">
        <v>1</v>
      </c>
      <c r="G8" s="42">
        <v>1</v>
      </c>
      <c r="H8" s="42">
        <v>1</v>
      </c>
      <c r="I8" s="43">
        <v>1</v>
      </c>
      <c r="J8" s="43">
        <v>1</v>
      </c>
      <c r="K8" s="44">
        <v>1</v>
      </c>
      <c r="L8" s="45">
        <v>4</v>
      </c>
      <c r="M8" s="45">
        <v>2</v>
      </c>
      <c r="N8" s="45">
        <v>1</v>
      </c>
      <c r="O8" s="45">
        <v>1</v>
      </c>
      <c r="P8" s="45">
        <v>1</v>
      </c>
      <c r="Q8" s="45">
        <v>1</v>
      </c>
      <c r="R8" s="46">
        <v>0</v>
      </c>
      <c r="S8" s="46">
        <v>1</v>
      </c>
      <c r="T8" s="46">
        <v>1</v>
      </c>
      <c r="U8" s="47"/>
      <c r="V8" s="40">
        <f t="shared" si="0"/>
        <v>21</v>
      </c>
    </row>
    <row r="9" spans="1:28" x14ac:dyDescent="0.45">
      <c r="A9" s="40">
        <f t="shared" si="1"/>
        <v>35</v>
      </c>
      <c r="B9" s="48">
        <f t="shared" si="2"/>
        <v>40</v>
      </c>
      <c r="C9" s="41">
        <v>1</v>
      </c>
      <c r="D9" s="41">
        <v>2</v>
      </c>
      <c r="E9" s="42">
        <v>1</v>
      </c>
      <c r="F9" s="42">
        <v>1</v>
      </c>
      <c r="G9" s="42">
        <v>2</v>
      </c>
      <c r="H9" s="42">
        <v>1</v>
      </c>
      <c r="I9" s="43">
        <v>1</v>
      </c>
      <c r="J9" s="43">
        <v>1</v>
      </c>
      <c r="K9" s="44">
        <v>1</v>
      </c>
      <c r="L9" s="45">
        <v>4</v>
      </c>
      <c r="M9" s="45">
        <v>2</v>
      </c>
      <c r="N9" s="45">
        <v>1</v>
      </c>
      <c r="O9" s="45">
        <v>1</v>
      </c>
      <c r="P9" s="45">
        <v>1</v>
      </c>
      <c r="Q9" s="45">
        <v>1</v>
      </c>
      <c r="R9" s="46">
        <v>0</v>
      </c>
      <c r="S9" s="46">
        <v>1</v>
      </c>
      <c r="T9" s="46">
        <v>1</v>
      </c>
      <c r="U9" s="47"/>
      <c r="V9" s="40">
        <f t="shared" si="0"/>
        <v>23</v>
      </c>
    </row>
    <row r="10" spans="1:28" x14ac:dyDescent="0.45">
      <c r="A10" s="40">
        <f t="shared" si="1"/>
        <v>40</v>
      </c>
      <c r="B10" s="48">
        <f t="shared" si="2"/>
        <v>45</v>
      </c>
      <c r="C10" s="41">
        <v>1</v>
      </c>
      <c r="D10" s="41">
        <v>2</v>
      </c>
      <c r="E10" s="42">
        <v>2</v>
      </c>
      <c r="F10" s="42">
        <v>1</v>
      </c>
      <c r="G10" s="42">
        <v>2</v>
      </c>
      <c r="H10" s="42">
        <v>1</v>
      </c>
      <c r="I10" s="43">
        <v>1</v>
      </c>
      <c r="J10" s="43">
        <v>1</v>
      </c>
      <c r="K10" s="44">
        <v>1</v>
      </c>
      <c r="L10" s="45">
        <v>4</v>
      </c>
      <c r="M10" s="45">
        <v>2</v>
      </c>
      <c r="N10" s="45">
        <v>1</v>
      </c>
      <c r="O10" s="45">
        <v>1</v>
      </c>
      <c r="P10" s="45">
        <v>1</v>
      </c>
      <c r="Q10" s="45">
        <v>1</v>
      </c>
      <c r="R10" s="46">
        <v>0</v>
      </c>
      <c r="S10" s="46">
        <v>1</v>
      </c>
      <c r="T10" s="46">
        <v>1</v>
      </c>
      <c r="U10" s="47"/>
      <c r="V10" s="40">
        <f t="shared" si="0"/>
        <v>24</v>
      </c>
    </row>
    <row r="11" spans="1:28" x14ac:dyDescent="0.45">
      <c r="A11" s="40">
        <f t="shared" si="1"/>
        <v>45</v>
      </c>
      <c r="B11" s="48">
        <f t="shared" si="2"/>
        <v>50</v>
      </c>
      <c r="C11" s="41">
        <v>1</v>
      </c>
      <c r="D11" s="41">
        <v>2</v>
      </c>
      <c r="E11" s="42">
        <v>2</v>
      </c>
      <c r="F11" s="42">
        <v>1</v>
      </c>
      <c r="G11" s="42">
        <v>2</v>
      </c>
      <c r="H11" s="42">
        <v>1</v>
      </c>
      <c r="I11" s="43">
        <v>1</v>
      </c>
      <c r="J11" s="43">
        <v>1</v>
      </c>
      <c r="K11" s="44">
        <v>1</v>
      </c>
      <c r="L11" s="45">
        <v>5</v>
      </c>
      <c r="M11" s="45">
        <v>2</v>
      </c>
      <c r="N11" s="45">
        <v>1</v>
      </c>
      <c r="O11" s="45">
        <v>1</v>
      </c>
      <c r="P11" s="45">
        <v>1</v>
      </c>
      <c r="Q11" s="45">
        <v>1</v>
      </c>
      <c r="R11" s="46">
        <v>0</v>
      </c>
      <c r="S11" s="46">
        <v>1</v>
      </c>
      <c r="T11" s="46">
        <v>1</v>
      </c>
      <c r="U11" s="47">
        <v>1</v>
      </c>
      <c r="V11" s="40">
        <f>SUM(C11:U11)</f>
        <v>26</v>
      </c>
    </row>
    <row r="12" spans="1:28" x14ac:dyDescent="0.45">
      <c r="B12" s="31"/>
      <c r="C12" s="22">
        <f>SUM(C2:C11)</f>
        <v>6</v>
      </c>
    </row>
    <row r="13" spans="1:28" x14ac:dyDescent="0.45">
      <c r="B13" s="31"/>
    </row>
    <row r="14" spans="1:28" x14ac:dyDescent="0.45">
      <c r="B14" s="31"/>
    </row>
    <row r="21" spans="2:2" x14ac:dyDescent="0.45">
      <c r="B21" s="2"/>
    </row>
    <row r="22" spans="2:2" x14ac:dyDescent="0.45">
      <c r="B22" s="2"/>
    </row>
    <row r="23" spans="2:2" x14ac:dyDescent="0.45">
      <c r="B23" s="2"/>
    </row>
    <row r="24" spans="2:2" x14ac:dyDescent="0.45">
      <c r="B24" s="2"/>
    </row>
    <row r="25" spans="2:2" x14ac:dyDescent="0.45">
      <c r="B25" s="2"/>
    </row>
    <row r="26" spans="2:2" x14ac:dyDescent="0.45">
      <c r="B26" s="2"/>
    </row>
    <row r="27" spans="2:2" x14ac:dyDescent="0.45">
      <c r="B27" s="2"/>
    </row>
    <row r="28" spans="2:2" x14ac:dyDescent="0.45">
      <c r="B28" s="2"/>
    </row>
    <row r="29" spans="2:2" x14ac:dyDescent="0.45">
      <c r="B29" s="2"/>
    </row>
    <row r="30" spans="2:2" x14ac:dyDescent="0.45">
      <c r="B30" s="2"/>
    </row>
    <row r="31" spans="2:2" x14ac:dyDescent="0.45">
      <c r="B31" s="2"/>
    </row>
    <row r="32" spans="2:2" x14ac:dyDescent="0.45">
      <c r="B32" s="2"/>
    </row>
    <row r="33" spans="2:2" x14ac:dyDescent="0.45">
      <c r="B33" s="2"/>
    </row>
    <row r="34" spans="2:2" x14ac:dyDescent="0.45">
      <c r="B34" s="2"/>
    </row>
    <row r="35" spans="2:2" x14ac:dyDescent="0.45">
      <c r="B35" s="2"/>
    </row>
    <row r="36" spans="2:2" x14ac:dyDescent="0.45">
      <c r="B36" s="2"/>
    </row>
    <row r="37" spans="2:2" x14ac:dyDescent="0.45">
      <c r="B37" s="2"/>
    </row>
    <row r="38" spans="2:2" x14ac:dyDescent="0.45">
      <c r="B38" s="2"/>
    </row>
    <row r="39" spans="2:2" x14ac:dyDescent="0.45">
      <c r="B39" s="2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Sucursales</vt:lpstr>
      <vt:lpstr>Areas y Estaciones</vt:lpstr>
      <vt:lpstr>Estaciones Empleado</vt:lpstr>
      <vt:lpstr>Estaciones x Item</vt:lpstr>
      <vt:lpstr>Estaciones Sucursal</vt:lpstr>
      <vt:lpstr>Horarios Sucursal</vt:lpstr>
      <vt:lpstr>Descansos</vt:lpstr>
      <vt:lpstr>Hoja1</vt:lpstr>
      <vt:lpstr>Sucursales Empleado</vt:lpstr>
      <vt:lpstr>Actividades</vt:lpstr>
      <vt:lpstr>Empleados</vt:lpstr>
      <vt:lpstr>Productividad</vt:lpstr>
      <vt:lpstr>Transacciones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mendez</cp:lastModifiedBy>
  <dcterms:created xsi:type="dcterms:W3CDTF">2026-08-19T22:11:37Z</dcterms:created>
  <dcterms:modified xsi:type="dcterms:W3CDTF">2026-09-20T13:15:39Z</dcterms:modified>
</cp:coreProperties>
</file>